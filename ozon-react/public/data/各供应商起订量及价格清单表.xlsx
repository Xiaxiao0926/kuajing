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<sst xmlns="http://schemas.openxmlformats.org/spreadsheetml/2006/main" count="63" uniqueCount="49">
  <si>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企业名称</t>
  </si>
  <si>
    <t>产品类别</t>
  </si>
  <si>
    <t>产品名称</t>
  </si>
  <si>
    <t>产品规格</t>
  </si>
  <si>
    <t>起订量</t>
  </si>
  <si>
    <t>报价情况</t>
  </si>
  <si>
    <t>备注</t>
  </si>
  <si>
    <t>蕴特（价格不含税，13%）</t>
  </si>
  <si>
    <t>发膜</t>
  </si>
  <si>
    <t>绿宝瓶</t>
  </si>
  <si>
    <t>250ml</t>
  </si>
  <si>
    <t>400个</t>
  </si>
  <si>
    <t>x=100kg</t>
  </si>
  <si>
    <t>38元/kg</t>
  </si>
  <si>
    <t>总价3800元，加工费1元/瓶，国内备案1300元（有效期5年），成本10.5元/瓶（优能同款料及香）</t>
  </si>
  <si>
    <t>1000kg≤x</t>
  </si>
  <si>
    <t>35元/kg</t>
  </si>
  <si>
    <t>总价35000元，加工费0.6元/瓶（可以换香或者颜色）成本9.35元/瓶</t>
  </si>
  <si>
    <t>精油</t>
  </si>
  <si>
    <t>JYA26041101-1</t>
  </si>
  <si>
    <t>100ml</t>
  </si>
  <si>
    <t>100kg≤x</t>
  </si>
  <si>
    <t>110元/kg</t>
  </si>
  <si>
    <t>总价11000元，769瓶*100ml，769瓶*30ml，加工费1元/瓶，100ml 12元/瓶，30ml 4.3元/瓶</t>
  </si>
  <si>
    <t>30ml</t>
  </si>
  <si>
    <t>90元/kg</t>
  </si>
  <si>
    <t>总价9000元，7690瓶*100ml，7690瓶*30ml，加工费0.6元/瓶，100ml 9.6元/瓶，30ml 3.3元/瓶</t>
  </si>
  <si>
    <t>领秀首美（含税）</t>
  </si>
  <si>
    <t>鱼子酱</t>
  </si>
  <si>
    <t>x&lt;500kg</t>
  </si>
  <si>
    <t>33元/kg</t>
  </si>
  <si>
    <t>总价3300元，加工费0.5元/瓶，国内备案1500元（俄罗斯额外备案），成本8.75元/瓶</t>
  </si>
  <si>
    <t>500kg≤x&lt;1000kg</t>
  </si>
  <si>
    <t>31元/kg</t>
  </si>
  <si>
    <t>总价3100元，加工费0.5元/瓶，国内备案1500元（俄罗斯额外备案），成本8.25元/瓶</t>
  </si>
  <si>
    <t>1000kg≤x&lt;3000kg</t>
  </si>
  <si>
    <t>30元/kg</t>
  </si>
  <si>
    <t>总价3000元，加工费0.5元/瓶，国内备案1500元（俄罗斯额外备案），成本8元/瓶</t>
  </si>
  <si>
    <t>3000kg≤x</t>
  </si>
  <si>
    <t>28元/kg</t>
  </si>
  <si>
    <t>总价2800元，加工费0.5元/瓶，国内备案1500元（俄罗斯额外备案），成本7.5元/瓶</t>
  </si>
  <si>
    <t>科研（含税）</t>
  </si>
  <si>
    <t>802精油喷雾</t>
  </si>
  <si>
    <t>80元/kg</t>
  </si>
  <si>
    <t>总价4160元，100ml  9.1元/瓶，30ml  3.5元/瓶，加工费1.1元/瓶，国内备案2200-2500元</t>
  </si>
  <si>
    <t>75元/kg</t>
  </si>
  <si>
    <t>总价3900元，100ml  8.6元/瓶， 30ml  3.35元/瓶，加工费1.1元/瓶，国内备案2200-2500元</t>
  </si>
  <si>
    <t>68元/kg</t>
  </si>
  <si>
    <t>总价3536元，100ml  7.9元/瓶，30ml  3.14元/瓶，加工费1.1元/瓶，国内备案2200-2500元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</si>
</sst>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9">
      <alignment vertical="center"/>
    </xf>
    <xf numFmtId="0" fontId="10" fillId="0" borderId="19">
      <alignment vertical="center"/>
    </xf>
    <xf numFmtId="0" fontId="11" fillId="0" borderId="20">
      <alignment vertical="center"/>
    </xf>
    <xf numFmtId="0" fontId="11" fillId="0" borderId="0">
      <alignment vertical="center"/>
    </xf>
    <xf numFmtId="0" fontId="12" fillId="4" borderId="21">
      <alignment vertical="center"/>
    </xf>
    <xf numFmtId="0" fontId="13" fillId="5" borderId="22">
      <alignment vertical="center"/>
    </xf>
    <xf numFmtId="0" fontId="14" fillId="5" borderId="21">
      <alignment vertical="center"/>
    </xf>
    <xf numFmtId="0" fontId="15" fillId="6" borderId="23">
      <alignment vertical="center"/>
    </xf>
    <xf numFmtId="0" fontId="16" fillId="0" borderId="24">
      <alignment vertical="center"/>
    </xf>
    <xf numFmtId="0" fontId="17" fillId="0" borderId="25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tabSelected="1" workbookViewId="0">
      <selection activeCell="H15" sqref="H15"/>
    </sheetView>
  </sheetViews>
  <sheetFormatPr defaultColWidth="9" defaultRowHeight="13.5" outlineLevelCol="7"/>
  <cols>
    <col min="1" max="1" width="15.75" customWidth="1"/>
    <col min="2" max="2" width="11.125" customWidth="1"/>
    <col min="3" max="3" width="16.125" customWidth="1"/>
    <col min="4" max="4" width="12.625" customWidth="1"/>
    <col min="5" max="5" width="10.5" customWidth="1"/>
    <col min="6" max="6" width="18.375" customWidth="1"/>
    <col min="7" max="7" width="12.75" customWidth="1"/>
    <col min="8" max="8" width="81.125" customWidth="1"/>
    <col min="10" max="10" width="34.625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ht="30" customHeight="1" spans="1:8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5" t="s">
        <v>14</v>
      </c>
    </row>
    <row r="3" ht="30" customHeight="1" spans="1:8">
      <c r="A3" s="6"/>
      <c r="B3" s="7"/>
      <c r="C3" s="7"/>
      <c r="D3" s="8"/>
      <c r="E3" s="8"/>
      <c r="F3" s="9" t="s">
        <v>15</v>
      </c>
      <c r="G3" s="9" t="s">
        <v>16</v>
      </c>
      <c r="H3" s="10" t="s">
        <v>17</v>
      </c>
    </row>
    <row r="4" ht="30" customHeight="1" spans="1:8">
      <c r="A4" s="6"/>
      <c r="B4" s="11" t="s">
        <v>18</v>
      </c>
      <c r="C4" s="11" t="s">
        <v>19</v>
      </c>
      <c r="D4" s="9" t="s">
        <v>20</v>
      </c>
      <c r="E4" s="9" t="s">
        <v>11</v>
      </c>
      <c r="F4" s="9" t="s">
        <v>21</v>
      </c>
      <c r="G4" s="9" t="s">
        <v>22</v>
      </c>
      <c r="H4" s="10" t="s">
        <v>23</v>
      </c>
    </row>
    <row r="5" ht="30" customHeight="1" spans="1:8">
      <c r="A5" s="12"/>
      <c r="B5" s="13"/>
      <c r="C5" s="13"/>
      <c r="D5" s="14" t="s">
        <v>24</v>
      </c>
      <c r="E5" s="14" t="s">
        <v>11</v>
      </c>
      <c r="F5" s="14" t="s">
        <v>15</v>
      </c>
      <c r="G5" s="14" t="s">
        <v>25</v>
      </c>
      <c r="H5" s="15" t="s">
        <v>26</v>
      </c>
    </row>
    <row r="6" ht="35" customHeight="1" spans="1:8">
      <c r="A6" s="16" t="s">
        <v>27</v>
      </c>
      <c r="B6" s="4" t="s">
        <v>8</v>
      </c>
      <c r="C6" s="4" t="s">
        <v>28</v>
      </c>
      <c r="D6" s="4" t="s">
        <v>10</v>
      </c>
      <c r="E6" s="4" t="s">
        <v>11</v>
      </c>
      <c r="F6" s="4" t="s">
        <v>29</v>
      </c>
      <c r="G6" s="4" t="s">
        <v>30</v>
      </c>
      <c r="H6" s="5" t="s">
        <v>31</v>
      </c>
    </row>
    <row r="7" ht="30" customHeight="1" spans="1:8">
      <c r="A7" s="17"/>
      <c r="B7" s="9"/>
      <c r="C7" s="9"/>
      <c r="D7" s="9"/>
      <c r="E7" s="9"/>
      <c r="F7" s="9" t="s">
        <v>32</v>
      </c>
      <c r="G7" s="9" t="s">
        <v>33</v>
      </c>
      <c r="H7" s="10" t="s">
        <v>34</v>
      </c>
    </row>
    <row r="8" ht="30" customHeight="1" spans="1:8">
      <c r="A8" s="17"/>
      <c r="B8" s="9"/>
      <c r="C8" s="9"/>
      <c r="D8" s="9"/>
      <c r="E8" s="9"/>
      <c r="F8" s="9" t="s">
        <v>35</v>
      </c>
      <c r="G8" s="9" t="s">
        <v>36</v>
      </c>
      <c r="H8" s="10" t="s">
        <v>37</v>
      </c>
    </row>
    <row r="9" ht="30" customHeight="1" spans="1:8">
      <c r="A9" s="18"/>
      <c r="B9" s="14"/>
      <c r="C9" s="14"/>
      <c r="D9" s="14"/>
      <c r="E9" s="14"/>
      <c r="F9" s="14" t="s">
        <v>38</v>
      </c>
      <c r="G9" s="14" t="s">
        <v>39</v>
      </c>
      <c r="H9" s="15" t="s">
        <v>40</v>
      </c>
    </row>
    <row r="10" ht="31" customHeight="1" spans="1:8">
      <c r="A10" s="2" t="s">
        <v>41</v>
      </c>
      <c r="B10" s="3" t="s">
        <v>18</v>
      </c>
      <c r="C10" s="3" t="s">
        <v>42</v>
      </c>
      <c r="D10" s="4" t="s">
        <v>20</v>
      </c>
      <c r="E10" s="4" t="s">
        <v>11</v>
      </c>
      <c r="F10" s="4" t="s">
        <v>29</v>
      </c>
      <c r="G10" s="4" t="s">
        <v>43</v>
      </c>
      <c r="H10" s="19" t="s">
        <v>44</v>
      </c>
    </row>
    <row r="11" ht="31" customHeight="1" spans="1:8">
      <c r="A11" s="6"/>
      <c r="B11" s="7"/>
      <c r="C11" s="7"/>
      <c r="D11" s="9" t="s">
        <v>24</v>
      </c>
      <c r="E11" s="9" t="s">
        <v>11</v>
      </c>
      <c r="F11" s="9" t="s">
        <v>32</v>
      </c>
      <c r="G11" s="9" t="s">
        <v>45</v>
      </c>
      <c r="H11" s="20" t="s">
        <v>46</v>
      </c>
    </row>
    <row r="12" ht="31" customHeight="1" spans="1:8">
      <c r="A12" s="12"/>
      <c r="B12" s="13"/>
      <c r="C12" s="13"/>
      <c r="D12" s="14"/>
      <c r="E12" s="14"/>
      <c r="F12" s="14" t="s">
        <v>15</v>
      </c>
      <c r="G12" s="14" t="s">
        <v>47</v>
      </c>
      <c r="H12" s="21" t="s">
        <v>48</v>
      </c>
    </row>
    <row r="13" ht="30" customHeight="1" spans="1:8">
      <c r="A13" s="22"/>
      <c r="B13" s="22"/>
      <c r="C13" s="22"/>
      <c r="D13" s="22"/>
      <c r="E13" s="22"/>
      <c r="F13" s="22"/>
      <c r="G13" s="22"/>
    </row>
    <row r="14" ht="30" customHeight="1" spans="1:8">
      <c r="A14" s="22"/>
      <c r="B14" s="22"/>
      <c r="C14" s="22"/>
      <c r="D14" s="22"/>
      <c r="E14" s="22"/>
      <c r="F14" s="22"/>
      <c r="G14" s="22"/>
    </row>
    <row r="15" ht="30" customHeight="1" spans="1:8">
      <c r="A15" s="22"/>
      <c r="B15" s="22"/>
      <c r="C15" s="22"/>
      <c r="D15" s="22"/>
      <c r="E15" s="22"/>
      <c r="F15" s="22"/>
      <c r="G15" s="22"/>
    </row>
    <row r="16" ht="30" customHeight="1" spans="1:8">
      <c r="A16" s="22"/>
      <c r="B16" s="22"/>
      <c r="C16" s="22"/>
      <c r="D16" s="22"/>
      <c r="E16" s="22"/>
      <c r="F16" s="22"/>
      <c r="G16" s="22"/>
    </row>
    <row r="17" ht="30" customHeight="1" spans="1:7">
      <c r="A17" s="22"/>
      <c r="B17" s="22"/>
      <c r="C17" s="22"/>
      <c r="D17" s="22"/>
      <c r="E17" s="22"/>
      <c r="F17" s="22"/>
      <c r="G17" s="22"/>
    </row>
    <row r="18" ht="30" customHeight="1" spans="1:7">
      <c r="A18" s="22"/>
      <c r="B18" s="22"/>
      <c r="C18" s="22"/>
      <c r="D18" s="22"/>
      <c r="E18" s="22"/>
      <c r="F18" s="22"/>
      <c r="G18" s="22"/>
    </row>
    <row r="19" ht="30" customHeight="1" spans="1:7">
      <c r="A19" s="22"/>
      <c r="B19" s="22"/>
      <c r="C19" s="22"/>
      <c r="D19" s="22"/>
      <c r="E19" s="22"/>
      <c r="F19" s="22"/>
      <c r="G19" s="22"/>
    </row>
    <row r="20" ht="30" customHeight="1" spans="1:7">
      <c r="A20" s="22"/>
      <c r="B20" s="22"/>
      <c r="C20" s="22"/>
      <c r="D20" s="22"/>
      <c r="E20" s="22"/>
      <c r="F20" s="22"/>
      <c r="G20" s="22"/>
    </row>
    <row r="21" ht="30" customHeight="1" spans="1:7">
      <c r="A21" s="22"/>
      <c r="B21" s="22"/>
      <c r="C21" s="22"/>
      <c r="D21" s="22"/>
      <c r="E21" s="22"/>
      <c r="F21" s="22"/>
      <c r="G21" s="22"/>
    </row>
    <row r="22" ht="30" customHeight="1" spans="1:7">
      <c r="A22" s="22"/>
      <c r="B22" s="22"/>
      <c r="C22" s="22"/>
      <c r="D22" s="22"/>
      <c r="E22" s="22"/>
      <c r="F22" s="22"/>
      <c r="G22" s="22"/>
    </row>
    <row r="23" ht="30" customHeight="1" spans="1:7">
      <c r="A23" s="22"/>
      <c r="B23" s="22"/>
      <c r="C23" s="22"/>
      <c r="D23" s="22"/>
      <c r="E23" s="22"/>
      <c r="F23" s="22"/>
      <c r="G23" s="22"/>
    </row>
    <row r="24" ht="30" customHeight="1" spans="1:7">
      <c r="A24" s="22"/>
      <c r="B24" s="22"/>
      <c r="C24" s="22"/>
      <c r="D24" s="22"/>
      <c r="E24" s="22"/>
      <c r="F24" s="22"/>
      <c r="G24" s="22"/>
    </row>
    <row r="25" ht="30" customHeight="1"/>
    <row r="26" ht="30" customHeight="1"/>
    <row r="27" ht="30" customHeight="1"/>
    <row r="28" ht="30" customHeight="1"/>
    <row r="29" ht="30" customHeight="1"/>
  </sheetData>
  <mergeCells count="16">
    <mergeCell ref="F1:G1"/>
    <mergeCell ref="A2:A5"/>
    <mergeCell ref="A6:A9"/>
    <mergeCell ref="A10:A12"/>
    <mergeCell ref="B2:B3"/>
    <mergeCell ref="B4:B5"/>
    <mergeCell ref="B6:B9"/>
    <mergeCell ref="B10:B12"/>
    <mergeCell ref="C2:C3"/>
    <mergeCell ref="C4:C5"/>
    <mergeCell ref="C6:C9"/>
    <mergeCell ref="C10:C12"/>
    <mergeCell ref="D2:D3"/>
    <mergeCell ref="D6:D9"/>
    <mergeCell ref="E2:E3"/>
    <mergeCell ref="E6:E9"/>
  </mergeCells>
  <pageMargins left="0.7" right="0.7" top="0.75" bottom="0.75" header="0.3" footer="0.3"/>
  <pageSetup paperSize="9" scale="7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C13"/>
  <sheetViews>
    <sheetView workbookViewId="0">
      <selection activeCell="H12" sqref="H12"/>
    </sheetView>
  </sheetViews>
  <sheetFormatPr defaultColWidth="9" defaultRowHeight="13.5" outlineLevelCol="2"/>
  <sheetData>
    <row r="7" spans="3:3">
      <c r="C7">
        <v>2800</v>
      </c>
    </row>
    <row r="8" spans="3:3">
      <c r="C8">
        <f>C7/400</f>
        <v>7</v>
      </c>
    </row>
    <row r="9" spans="3:3">
      <c r="C9">
        <f>C8+0.5</f>
        <v>7.5</v>
      </c>
    </row>
    <row r="11" spans="3:3">
      <c r="C11">
        <v>3300</v>
      </c>
    </row>
    <row r="12" spans="3:3">
      <c r="C12">
        <f>C11*10/13/400</f>
        <v>6.34615384615385</v>
      </c>
    </row>
    <row r="13" spans="3:3">
      <c r="C13">
        <f>C11*3/13/400</f>
        <v>1.90384615384615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2023-05-12T11:15:00Z</dcterms:created>
  <dcterms:modified xsi:type="dcterms:W3CDTF">2026-05-08T10:08:11Z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037DB56F61314C78A7C112E3D31C3142_13</vt:lpwstr>
  </property>
  <property fmtid="{D5CDD505-2E9C-101B-9397-08002B2CF9AE}" pid="4" name="CalculationRule">
    <vt:i4>0</vt:i4>
  </property>
</Properties>
</file>