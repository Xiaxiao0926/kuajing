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0Q5T7Onuj0gAlzn5+5pQTDSl/KxbArRhprEJKhWJokWbecPlYjOLi+lGG2CvACuxZ4hTIAorocxCpHbw+FCYqw==" workbookSaltValue="gNDJ2IaY7MHXYZ04jrOySA==" workbookSpinCount="100000" lockStructure="1"/>
  <bookViews>
    <workbookView windowWidth="28800" windowHeight="11805" firstSheet="1"/>
  </bookViews>
  <sheets>
    <sheet name="OZON-rFBS" sheetId="2" r:id="rId1"/>
    <sheet name="OZON-FBP" sheetId="11" r:id="rId2"/>
    <sheet name="OZON CIS 独联体国家" sheetId="12" r:id="rId3"/>
    <sheet name="OZON CIS-FBP" sheetId="13" r:id="rId4"/>
    <sheet name="WB" sheetId="7" r:id="rId5"/>
    <sheet name="Yandex" sheetId="9" r:id="rId6"/>
  </sheets>
  <definedNames>
    <definedName name="_xlnm._FilterDatabase" localSheetId="2" hidden="1">'OZON CIS 独联体国家'!$A$2:$L$27</definedName>
    <definedName name="_xlnm._FilterDatabase" localSheetId="0" hidden="1">'OZON-rFBS'!$A$2:$AA$24</definedName>
    <definedName name="_xlnm._FilterDatabase" localSheetId="1" hidden="1">'OZON-FBP'!$A$2:$AA$25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<sst xmlns="http://schemas.openxmlformats.org/spreadsheetml/2006/main" count="488" uniqueCount="225">
  <si>
    <t>OZON平台 一 CEL运费测算表</t>
  </si>
  <si>
    <t>产品分类</t>
  </si>
  <si>
    <t>渠道名称</t>
  </si>
  <si>
    <t>派送方式</t>
  </si>
  <si>
    <t>时效</t>
  </si>
  <si>
    <t>资费标准</t>
  </si>
  <si>
    <t>计费逻辑</t>
  </si>
  <si>
    <t>退货服务</t>
  </si>
  <si>
    <t>重量限制
（KG）</t>
  </si>
  <si>
    <t>货值限制
（RUB）</t>
  </si>
  <si>
    <t>尺寸限制
（CM）</t>
  </si>
  <si>
    <t>运费试算值(RMB)
（自动）</t>
  </si>
  <si>
    <t>计费重量
(KG)   
 （自动）</t>
  </si>
  <si>
    <t>体积重
(KG)
（自动）</t>
  </si>
  <si>
    <t>数值</t>
  </si>
  <si>
    <t>测算基础值</t>
  </si>
  <si>
    <t>Extra Small 
（超级轻小件）</t>
  </si>
  <si>
    <t>CEL Express Extra Small    
超级轻小件（陆空特快）</t>
  </si>
  <si>
    <t>PUDO到取货点
Courier到门</t>
  </si>
  <si>
    <t>5-10天</t>
  </si>
  <si>
    <t>0.045元/克+3元/票</t>
  </si>
  <si>
    <t>实重计费</t>
  </si>
  <si>
    <t>免费销毁
无改派
无退回</t>
  </si>
  <si>
    <t>0.001-0.5KG（不计抛）</t>
  </si>
  <si>
    <r>
      <rPr>
        <b/>
        <sz val="10"/>
        <rFont val="宋体"/>
        <charset val="134"/>
      </rPr>
      <t xml:space="preserve">1-1500 </t>
    </r>
    <r>
      <rPr>
        <b/>
        <sz val="10"/>
        <rFont val="Times New Roman"/>
        <charset val="134"/>
      </rPr>
      <t>₽</t>
    </r>
  </si>
  <si>
    <t>三边和不超90CM
最长边不超60CM</t>
  </si>
  <si>
    <t>售价（RUB）</t>
  </si>
  <si>
    <t>CEL Standard Extra Small   
超级轻小件（陆空标准）</t>
  </si>
  <si>
    <t>10-15天</t>
  </si>
  <si>
    <t>0.035元/克+3元/票</t>
  </si>
  <si>
    <t>实重（KG）</t>
  </si>
  <si>
    <t>CEL Economy Extra Small    
超级轻小件（陆运经济）</t>
  </si>
  <si>
    <t>15-25天</t>
  </si>
  <si>
    <t>0.025元/克+3元/票</t>
  </si>
  <si>
    <t>长（CM）</t>
  </si>
  <si>
    <t>Budget       
（低客单价标准件）</t>
  </si>
  <si>
    <t>CEL Express Budget          
低客单价标准件（陆空特快）</t>
  </si>
  <si>
    <t>0.033元/克+23元/票</t>
  </si>
  <si>
    <r>
      <rPr>
        <b/>
        <sz val="10"/>
        <rFont val="宋体"/>
        <charset val="134"/>
      </rPr>
      <t>0.501-</t>
    </r>
    <r>
      <rPr>
        <b/>
        <sz val="10"/>
        <color rgb="FFFF0000"/>
        <rFont val="宋体"/>
        <charset val="134"/>
      </rPr>
      <t>30KG</t>
    </r>
    <r>
      <rPr>
        <b/>
        <sz val="10"/>
        <rFont val="宋体"/>
        <charset val="134"/>
      </rPr>
      <t xml:space="preserve">
（不计抛）</t>
    </r>
  </si>
  <si>
    <t>三边和不超150CM
最长边不超60CM</t>
  </si>
  <si>
    <t>宽（CM）</t>
  </si>
  <si>
    <t>CEL Standard Budget        
低客单价标准件（陆空标准）</t>
  </si>
  <si>
    <t>0.025元/克+23元/票</t>
  </si>
  <si>
    <t>高（CM）</t>
  </si>
  <si>
    <t>CEL Economy Budget         
低客单价标准件（陆运经济）</t>
  </si>
  <si>
    <t>0.017元/克+23元/票</t>
  </si>
  <si>
    <t>三边尺寸之和</t>
  </si>
  <si>
    <t>Small              
（小件）</t>
  </si>
  <si>
    <t>CEL Express Small          
小件（陆空特快）</t>
  </si>
  <si>
    <t>0.045元/克+16元/票</t>
  </si>
  <si>
    <t>免费销毁
支持改派
支持退回 收取正向运价x1.5倍</t>
  </si>
  <si>
    <t>0.001-2KG
（不计抛）</t>
  </si>
  <si>
    <r>
      <rPr>
        <b/>
        <sz val="10"/>
        <rFont val="宋体"/>
        <charset val="134"/>
      </rPr>
      <t xml:space="preserve">1501-7000 </t>
    </r>
    <r>
      <rPr>
        <b/>
        <sz val="10"/>
        <rFont val="Times New Roman"/>
        <charset val="134"/>
      </rPr>
      <t>₽</t>
    </r>
  </si>
  <si>
    <t>密度(KG/M³)</t>
  </si>
  <si>
    <t>CEL Standard Small         
小件（陆空标准）</t>
  </si>
  <si>
    <t>0.035元/克+16元/票</t>
  </si>
  <si>
    <t>CEL Economy Small          
小件（陆运经济）</t>
  </si>
  <si>
    <t>0.025元/克+16元/票</t>
  </si>
  <si>
    <r>
      <rPr>
        <b/>
        <sz val="12"/>
        <rFont val="宋体"/>
        <charset val="134"/>
      </rPr>
      <t>填入数值后</t>
    </r>
    <r>
      <rPr>
        <b/>
        <sz val="12"/>
        <color rgb="FFFF0000"/>
        <rFont val="宋体"/>
        <charset val="134"/>
      </rPr>
      <t>自动出报价</t>
    </r>
    <r>
      <rPr>
        <b/>
        <sz val="12"/>
        <rFont val="宋体"/>
        <charset val="134"/>
      </rPr>
      <t>，不符合渠道发运要求不显示物流运费价格.</t>
    </r>
  </si>
  <si>
    <t>Big                     
（大件）</t>
  </si>
  <si>
    <t>CEL Standard Big           
大件（陆空标准）</t>
  </si>
  <si>
    <t>0.025元/克+36元/票</t>
  </si>
  <si>
    <t>实重与体积重比较，取最大值计费。
体积重计算公式：长x宽x高(厘米)÷12000</t>
  </si>
  <si>
    <r>
      <rPr>
        <b/>
        <sz val="10"/>
        <rFont val="宋体"/>
        <charset val="204"/>
      </rPr>
      <t>2.001-</t>
    </r>
    <r>
      <rPr>
        <b/>
        <sz val="10"/>
        <color rgb="FFFF0000"/>
        <rFont val="宋体"/>
        <charset val="204"/>
      </rPr>
      <t>30KG
（计抛、体积重不超</t>
    </r>
    <r>
      <rPr>
        <b/>
        <u/>
        <sz val="10"/>
        <color rgb="FFFF0000"/>
        <rFont val="宋体"/>
        <charset val="204"/>
      </rPr>
      <t>31KG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</si>
  <si>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1501-7000 </t>
    </r>
    <r>
      <rPr>
        <b/>
        <sz val="10"/>
        <rFont val="Times New Roman"/>
        <charset val="204"/>
      </rPr>
      <t>₽</t>
    </r>
  </si>
  <si>
    <t>三边和不超250CM
最长边不超150CM</t>
  </si>
  <si>
    <t>CEL Economy Big            
大件（陆运经济）</t>
  </si>
  <si>
    <t>0.017元/克+36元/票</t>
  </si>
  <si>
    <t>Premium Small
（高客单价小件）</t>
  </si>
  <si>
    <t>CEL Express Premium Small  
高客单价小件（陆空特快）</t>
  </si>
  <si>
    <t>0.045元/克+22元/票</t>
  </si>
  <si>
    <t>0.001-5KG
（不计抛）</t>
  </si>
  <si>
    <r>
      <rPr>
        <b/>
        <sz val="10"/>
        <rFont val="宋体"/>
        <charset val="134"/>
      </rPr>
      <t xml:space="preserve">7001-250000 </t>
    </r>
    <r>
      <rPr>
        <b/>
        <sz val="10"/>
        <rFont val="Times New Roman"/>
        <charset val="134"/>
      </rPr>
      <t>₽</t>
    </r>
  </si>
  <si>
    <r>
      <rPr>
        <b/>
        <sz val="14"/>
        <color rgb="FFFF0000"/>
        <rFont val="宋体"/>
        <charset val="134"/>
      </rPr>
      <t xml:space="preserve">温馨提示：
</t>
    </r>
    <r>
      <rPr>
        <b/>
        <sz val="12"/>
        <color theme="4" tint="-0.5"/>
        <rFont val="宋体"/>
        <charset val="134"/>
      </rPr>
      <t>建议卖家尽量使用</t>
    </r>
    <r>
      <rPr>
        <b/>
        <u/>
        <sz val="14"/>
        <color rgb="FFFF0000"/>
        <rFont val="宋体"/>
        <charset val="134"/>
      </rPr>
      <t>到取货点</t>
    </r>
    <r>
      <rPr>
        <b/>
        <sz val="12"/>
        <color theme="4" tint="-0.5"/>
        <rFont val="宋体"/>
        <charset val="134"/>
      </rPr>
      <t>物流方式，自提点有</t>
    </r>
    <r>
      <rPr>
        <b/>
        <u/>
        <sz val="14"/>
        <color rgb="FFFF0000"/>
        <rFont val="宋体"/>
        <charset val="134"/>
      </rPr>
      <t>14天</t>
    </r>
    <r>
      <rPr>
        <b/>
        <sz val="12"/>
        <color theme="4" tint="-0.5"/>
        <rFont val="宋体"/>
        <charset val="134"/>
      </rPr>
      <t>超长保存期，可解决上班或旅游不在家无法及时签收快递等问题.</t>
    </r>
  </si>
  <si>
    <t>CEL Standard Premium Small   
高客单价小件（陆空标准）</t>
  </si>
  <si>
    <t>0.035元/克+22元/票</t>
  </si>
  <si>
    <t>CEL Economy Premium Small  
高客单价小件（陆运经济）</t>
  </si>
  <si>
    <t>0.025元/克+22元/票</t>
  </si>
  <si>
    <t>Premium Big    
（高客单价大件）</t>
  </si>
  <si>
    <t>CEL Standard Premium Big   
高客单价大件（陆空标准）</t>
  </si>
  <si>
    <t>0.028元/克+62元/票</t>
  </si>
  <si>
    <r>
      <rPr>
        <b/>
        <sz val="10"/>
        <rFont val="宋体"/>
        <charset val="204"/>
      </rPr>
      <t>5.001-</t>
    </r>
    <r>
      <rPr>
        <b/>
        <sz val="10"/>
        <color rgb="FFFF0000"/>
        <rFont val="宋体"/>
        <charset val="204"/>
      </rPr>
      <t>30KG
(计抛、体积重不超</t>
    </r>
    <r>
      <rPr>
        <b/>
        <u/>
        <sz val="10"/>
        <color rgb="FFFF0000"/>
        <rFont val="宋体"/>
        <charset val="204"/>
      </rPr>
      <t>80KG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</si>
  <si>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7001-250000 </t>
    </r>
    <r>
      <rPr>
        <b/>
        <sz val="10"/>
        <rFont val="Times New Roman"/>
        <charset val="204"/>
      </rPr>
      <t>₽</t>
    </r>
  </si>
  <si>
    <r>
      <rPr>
        <b/>
        <sz val="9"/>
        <rFont val="宋体"/>
        <charset val="204"/>
      </rPr>
      <t xml:space="preserve">三边和不超310CM
最长边不超150CM
</t>
    </r>
    <r>
      <rPr>
        <b/>
        <sz val="9"/>
        <color rgb="FFFF0000"/>
        <rFont val="宋体"/>
        <charset val="204"/>
      </rPr>
      <t>（最大尺寸限制</t>
    </r>
    <r>
      <rPr>
        <b/>
        <u/>
        <sz val="9"/>
        <color rgb="FFFF0000"/>
        <rFont val="宋体"/>
        <charset val="204"/>
      </rPr>
      <t>150x80x80CM</t>
    </r>
    <r>
      <rPr>
        <b/>
        <sz val="9"/>
        <color rgb="FFFF0000"/>
        <rFont val="宋体"/>
        <charset val="204"/>
      </rPr>
      <t>）</t>
    </r>
  </si>
  <si>
    <t>CEL Economy Premium Big    
高客单价大件（陆运经济）</t>
  </si>
  <si>
    <t>0.023元/克+62元/票</t>
  </si>
  <si>
    <t>HK                  
 （中国香港）</t>
  </si>
  <si>
    <t>CEL Express HK 
香港空运</t>
  </si>
  <si>
    <t>7-12天</t>
  </si>
  <si>
    <t>9.6元/100克+19元/票</t>
  </si>
  <si>
    <t>尺寸三边和超60cm计算体积重（长x宽x高÷6000），并与实重比较取最大值计费；三边和不超60cm按实重计费。百克进位。</t>
  </si>
  <si>
    <t>免费销毁, 支持改派, 退运收取正向运价x1.5倍</t>
  </si>
  <si>
    <r>
      <rPr>
        <b/>
        <sz val="10"/>
        <rFont val="宋体"/>
        <charset val="204"/>
      </rPr>
      <t xml:space="preserve">0.001-25KG
</t>
    </r>
    <r>
      <rPr>
        <b/>
        <sz val="10"/>
        <color rgb="FFFF0000"/>
        <rFont val="宋体"/>
        <charset val="204"/>
      </rPr>
      <t>（计抛）</t>
    </r>
  </si>
  <si>
    <r>
      <rPr>
        <b/>
        <sz val="10"/>
        <rFont val="宋体"/>
        <charset val="204"/>
      </rPr>
      <t xml:space="preserve">1-500000 </t>
    </r>
    <r>
      <rPr>
        <b/>
        <sz val="10"/>
        <rFont val="Times New Roman"/>
        <charset val="204"/>
      </rPr>
      <t>₽</t>
    </r>
  </si>
  <si>
    <t>三边和不超310CM
最长边不超150CM</t>
  </si>
  <si>
    <t>CEL客户OMS服务系统注册：http://tms.celdt.cn/login.aspx</t>
  </si>
  <si>
    <t>CEL客户WMS国际退件系统注册：http://124.156.133.105:8888/wms-main/oms.htm</t>
  </si>
  <si>
    <t>OZON帮助页面仓库创建教程：https://docs.ozon.ru/global/zh/fulfillment/rfbs/logistic-settings/warehouse/?country=CN</t>
  </si>
  <si>
    <t>OZON帮助页面物流配送方式添加教程：https://docs.ozon.ru/global/zh/fulfillment/rfbs/logistic-settings/delivery-methods/?country=CN</t>
  </si>
  <si>
    <t>OZON各类目商品销售佣金标准：https://docs.ozon.ru/global/zh-hans/commissions/ozon-fees/commissions/?country=CN</t>
  </si>
  <si>
    <t>OZON官网发布禁售商品：https://docs.ozon.ru/global/zh-hans/products/special-categories/?country=CN</t>
  </si>
  <si>
    <t>4-8天</t>
  </si>
  <si>
    <t>8-12天</t>
  </si>
  <si>
    <t>11-15天</t>
  </si>
  <si>
    <t>CEL Express Big           
  大件（陆空特快）</t>
  </si>
  <si>
    <t>0.033元/克+36元/票</t>
  </si>
  <si>
    <t>CEL Express Premium Big    
 高客单价大件（陆空特快）</t>
  </si>
  <si>
    <t>0.033元/克+62元/票</t>
  </si>
  <si>
    <t>OZON CIS 白俄罗斯和哈萨克斯坦运费测算表</t>
  </si>
  <si>
    <t>产品</t>
  </si>
  <si>
    <t>收费标准</t>
  </si>
  <si>
    <t>重量限制(KG)</t>
  </si>
  <si>
    <t>尺寸(CM)</t>
  </si>
  <si>
    <t>货值(RUB)</t>
  </si>
  <si>
    <t>体积重(KG)</t>
  </si>
  <si>
    <t>计费重(KG)</t>
  </si>
  <si>
    <t>运费(RMB)</t>
  </si>
  <si>
    <t>试算区域</t>
  </si>
  <si>
    <t>CEL Belarus Standard Extra Small</t>
  </si>
  <si>
    <t>白俄罗斯
Standard：15-20天
Economy：25-30天</t>
  </si>
  <si>
    <t>35元/kg+3元/票</t>
  </si>
  <si>
    <t>0.001-0.5kg</t>
  </si>
  <si>
    <t>长+宽+高≤90cm，单边≤60cm</t>
  </si>
  <si>
    <t>≤1500</t>
  </si>
  <si>
    <t>销毁</t>
  </si>
  <si>
    <t>售价(RUB)</t>
  </si>
  <si>
    <t>CEL Belarus Economy Extra Small</t>
  </si>
  <si>
    <t>25元/kg+3元/票</t>
  </si>
  <si>
    <t>CEL Belarus Standard Budget</t>
  </si>
  <si>
    <t>25元/kg+23元/票</t>
  </si>
  <si>
    <t>0.501-35kg</t>
  </si>
  <si>
    <t>长+宽+高≤150cm，单边≤60cm</t>
  </si>
  <si>
    <t>重量(KG)</t>
  </si>
  <si>
    <t>CEL Belarus Economy Budget</t>
  </si>
  <si>
    <t>17元/kg+23元/票</t>
  </si>
  <si>
    <t>CEL Belarus Standard Small</t>
  </si>
  <si>
    <t>35元/kg+16元/票</t>
  </si>
  <si>
    <t>0.001-2kg</t>
  </si>
  <si>
    <t>1501-7000</t>
  </si>
  <si>
    <t>退回
销毁</t>
  </si>
  <si>
    <t>CEL Belarus Economy Small</t>
  </si>
  <si>
    <t>25元/kg+16元/票</t>
  </si>
  <si>
    <t>CEL Belarus Standard Big</t>
  </si>
  <si>
    <t>25元/kg+36元/票</t>
  </si>
  <si>
    <t>2.001-35kg</t>
  </si>
  <si>
    <t>长+宽+高≤250cm，单边≤150cm</t>
  </si>
  <si>
    <t>长(CM)</t>
  </si>
  <si>
    <t>CEL Belarus Economy Big</t>
  </si>
  <si>
    <t>17元/kg+36元/票</t>
  </si>
  <si>
    <t>CEL Belarus Standard Premium Small</t>
  </si>
  <si>
    <t>35元/kg+22元/票</t>
  </si>
  <si>
    <t>0.001-5kg</t>
  </si>
  <si>
    <t>7001-18000</t>
  </si>
  <si>
    <t>CEL Belarus Economy  Premium Small</t>
  </si>
  <si>
    <t>25元/kg+22元/票</t>
  </si>
  <si>
    <t>CEL Belarus Standard Premium Big</t>
  </si>
  <si>
    <t>28元/kg+62元/票</t>
  </si>
  <si>
    <t>5.001-35kg</t>
  </si>
  <si>
    <t>长+宽+高≤310cm，单边≤150cm</t>
  </si>
  <si>
    <t>宽(CM)</t>
  </si>
  <si>
    <t>CEL Belarus Economy  Premium Big</t>
  </si>
  <si>
    <t>23元/kg+62元/票</t>
  </si>
  <si>
    <t>CEL Kazakhstan Standard Extra Small</t>
  </si>
  <si>
    <t>哈萨克斯坦
Standard：10-15天
Economy：20-25天</t>
  </si>
  <si>
    <t>CEL Kazakhstan Economy Extra Small</t>
  </si>
  <si>
    <t>CEL Kazakhstan Standard Budget</t>
  </si>
  <si>
    <t>高(CM)</t>
  </si>
  <si>
    <t>CEL Kazakhstan Economy Budget</t>
  </si>
  <si>
    <t>CEL Kazakhstan Standard Small</t>
  </si>
  <si>
    <t>CEL Kazakhstan  Economy Small</t>
  </si>
  <si>
    <t>CEL Kazakhstan Standard Big</t>
  </si>
  <si>
    <t>三边和(CM)</t>
  </si>
  <si>
    <t>CEL Kazakhstan  Economy Big</t>
  </si>
  <si>
    <t>CEL Kazakhstan Standard Premium Small</t>
  </si>
  <si>
    <t>CEL Kazakhstan  Economy Premium Small</t>
  </si>
  <si>
    <t>CEL Kazakhstan Standard Premium Big</t>
  </si>
  <si>
    <t>密度</t>
  </si>
  <si>
    <t>CEL Kazakhstan  Economy Premium Big</t>
  </si>
  <si>
    <t>计费逻辑：Big和Premium Big实重与体积重取较大值计费，其他产品按实重计费。体积重计算公式：长x宽x高(厘米)÷12000</t>
  </si>
  <si>
    <t>Standard：20-25天
Economy：30-35天</t>
  </si>
  <si>
    <t xml:space="preserve">            wildberries平台—CEL运费测算表</t>
  </si>
  <si>
    <t>渠道</t>
  </si>
  <si>
    <t>网点</t>
  </si>
  <si>
    <t>时效（天）</t>
  </si>
  <si>
    <t>包裹限重（kg）</t>
  </si>
  <si>
    <t>尺寸限制</t>
  </si>
  <si>
    <t>费用</t>
  </si>
  <si>
    <t>试算运费(元）</t>
  </si>
  <si>
    <t>百克进位计费重量（kg）</t>
  </si>
  <si>
    <t>包裹实际重量（kg）</t>
  </si>
  <si>
    <t>价格试算</t>
  </si>
  <si>
    <t>陆空联运
（Wb-Express)</t>
  </si>
  <si>
    <t>珲春仓备货</t>
  </si>
  <si>
    <t>到达取货点</t>
  </si>
  <si>
    <t>≤20kg</t>
  </si>
  <si>
    <t>三边之和不超过200厘米                单边不超过115厘米</t>
  </si>
  <si>
    <t>48元/kg+9元/票</t>
  </si>
  <si>
    <t>←输入重量/kg</t>
  </si>
  <si>
    <t>陆运
（Wb-Economy)</t>
  </si>
  <si>
    <t>前端仓库</t>
  </si>
  <si>
    <t>≤0.3kg</t>
  </si>
  <si>
    <t>58元/kg+2元/票</t>
  </si>
  <si>
    <t>＞0.3kg≤20kg</t>
  </si>
  <si>
    <t>43元/kg+8元/票</t>
  </si>
  <si>
    <t>注意：包裹送仓地址需要与平台出单仓库一致；珲春仓备货单件包裹密度需大于70kg/m³</t>
  </si>
  <si>
    <t>退货服务：派送失败退回WB官方仓我司不承运不收费；清关失败退货42元/票</t>
  </si>
  <si>
    <t>Yandex平台—CEL运费测算表</t>
  </si>
  <si>
    <t>重量限制</t>
  </si>
  <si>
    <t>费用（实重计费）</t>
  </si>
  <si>
    <t>试算运费(卢布）</t>
  </si>
  <si>
    <t>Express</t>
  </si>
  <si>
    <t>≤30KG</t>
  </si>
  <si>
    <t>715卢布/KG + 161卢布/票</t>
  </si>
  <si>
    <r>
      <rPr>
        <sz val="10"/>
        <color rgb="FF08090C"/>
        <rFont val="微软雅黑"/>
        <charset val="134"/>
      </rPr>
      <t>←</t>
    </r>
    <r>
      <rPr>
        <sz val="10"/>
        <color rgb="FF08090C"/>
        <rFont val="微软雅黑"/>
        <charset val="0"/>
      </rPr>
      <t>产品重量（KG)</t>
    </r>
  </si>
  <si>
    <t>Economy</t>
  </si>
  <si>
    <t>19-22天</t>
  </si>
  <si>
    <t>长+宽+高≤450cm，单边≤150cm</t>
  </si>
  <si>
    <t>465卢布/KG + 161卢布/票</t>
  </si>
  <si>
    <t>Express Extra Small</t>
  </si>
  <si>
    <t>≤0.5KG</t>
  </si>
  <si>
    <t>550卢布/KG +78卢布/票</t>
  </si>
  <si>
    <t>Economy Extra Small</t>
  </si>
  <si>
    <t>287卢布/KG +78卢布/票</t>
  </si>
  <si>
    <t>FBP-Express</t>
  </si>
  <si>
    <t>退件服务：清关失败退货42元/票；派送失败退货、签收退货86元/票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</si>
</sst>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);[Red]\(0.00\)"/>
  </numFmts>
  <fonts count="7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8"/>
      <name val="微软雅黑"/>
      <charset val="134"/>
    </font>
    <font>
      <b/>
      <sz val="10"/>
      <color rgb="FFFFFFFF"/>
      <name val="微软雅黑"/>
      <charset val="134"/>
    </font>
    <font>
      <sz val="10"/>
      <color rgb="FF08090C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charset val="0"/>
    </font>
    <font>
      <sz val="11"/>
      <color rgb="FF000000"/>
      <name val="宋体"/>
      <charset val="134"/>
      <scheme val="minor"/>
    </font>
    <font>
      <sz val="11"/>
      <color rgb="FF000000"/>
      <name val="Times New Roman"/>
      <charset val="0"/>
    </font>
    <font>
      <sz val="11"/>
      <color rgb="FF000000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28"/>
      <color rgb="FF75BD42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333333"/>
      <name val="Arial"/>
      <charset val="134"/>
    </font>
    <font>
      <b/>
      <sz val="16"/>
      <color theme="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ajor"/>
    </font>
    <font>
      <sz val="10"/>
      <color rgb="FFFF0000"/>
      <name val="宋体"/>
      <charset val="134"/>
      <scheme val="major"/>
    </font>
    <font>
      <b/>
      <sz val="10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28"/>
      <color theme="0"/>
      <name val="微软雅黑"/>
      <charset val="134"/>
    </font>
    <font>
      <sz val="28"/>
      <color theme="0"/>
      <name val="微软雅黑"/>
      <charset val="134"/>
    </font>
    <font>
      <b/>
      <sz val="10"/>
      <name val="微软雅黑"/>
      <charset val="134"/>
    </font>
    <font>
      <b/>
      <sz val="14"/>
      <color theme="0"/>
      <name val="宋体"/>
      <charset val="134"/>
      <scheme val="minor"/>
    </font>
    <font>
      <b/>
      <sz val="9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0"/>
      <name val="微软雅黑"/>
      <charset val="204"/>
    </font>
    <font>
      <b/>
      <sz val="10"/>
      <name val="宋体"/>
      <charset val="204"/>
    </font>
    <font>
      <b/>
      <sz val="9"/>
      <name val="宋体"/>
      <charset val="20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</font>
    <font>
      <b/>
      <sz val="11"/>
      <color theme="0"/>
      <name val="宋体"/>
      <charset val="204"/>
    </font>
    <font>
      <sz val="11"/>
      <color theme="0"/>
      <name val="宋体"/>
      <charset val="204"/>
    </font>
    <font>
      <b/>
      <sz val="11"/>
      <color theme="0"/>
      <name val="宋体"/>
      <charset val="134"/>
    </font>
    <font>
      <sz val="11"/>
      <color theme="0"/>
      <name val="宋体"/>
      <charset val="134"/>
    </font>
    <font>
      <sz val="1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Times New Roman"/>
      <charset val="134"/>
    </font>
    <font>
      <b/>
      <sz val="12"/>
      <color theme="4" tint="-0.5"/>
      <name val="宋体"/>
      <charset val="134"/>
    </font>
    <font>
      <b/>
      <u/>
      <sz val="14"/>
      <color rgb="FFFF0000"/>
      <name val="宋体"/>
      <charset val="134"/>
    </font>
    <font>
      <sz val="10"/>
      <color rgb="FF08090C"/>
      <name val="微软雅黑"/>
      <charset val="0"/>
    </font>
    <font>
      <b/>
      <sz val="10"/>
      <color rgb="FFFF0000"/>
      <name val="宋体"/>
      <charset val="204"/>
    </font>
    <font>
      <b/>
      <sz val="10"/>
      <name val="Times New Roman"/>
      <charset val="204"/>
    </font>
    <font>
      <b/>
      <sz val="9"/>
      <color rgb="FFFF0000"/>
      <name val="宋体"/>
      <charset val="204"/>
    </font>
    <font>
      <b/>
      <u/>
      <sz val="9"/>
      <color rgb="FFFF0000"/>
      <name val="宋体"/>
      <charset val="204"/>
    </font>
    <font>
      <b/>
      <u/>
      <sz val="10"/>
      <color rgb="FFFF0000"/>
      <name val="宋体"/>
      <charset val="204"/>
    </font>
  </fonts>
  <fills count="4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84EE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medium">
        <color theme="8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medium">
        <color theme="8"/>
      </right>
      <top/>
      <bottom style="dotted">
        <color theme="8"/>
      </bottom>
      <diagonal/>
    </border>
    <border>
      <left style="medium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medium">
        <color theme="8"/>
      </right>
      <top style="dotted">
        <color theme="8"/>
      </top>
      <bottom style="dotted">
        <color theme="8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/>
      </right>
      <top/>
      <bottom/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/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573E9"/>
      </left>
      <right style="thin">
        <color rgb="FF4573E9"/>
      </right>
      <top/>
      <bottom style="thin">
        <color rgb="FF4573E9"/>
      </bottom>
      <diagonal/>
    </border>
    <border>
      <left style="thin">
        <color rgb="FF4573E9"/>
      </left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rgb="FF4573E9"/>
      </left>
      <right/>
      <top style="thin">
        <color rgb="FF4573E9"/>
      </top>
      <bottom style="thin">
        <color rgb="FF4573E9"/>
      </bottom>
      <diagonal/>
    </border>
    <border>
      <left/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4573E9"/>
      </left>
      <right/>
      <top style="thin">
        <color rgb="FF4573E9"/>
      </top>
      <bottom/>
      <diagonal/>
    </border>
    <border>
      <left/>
      <right style="thin">
        <color rgb="FF4573E9"/>
      </right>
      <top style="thin">
        <color rgb="FF4573E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12" borderId="53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54" applyNumberFormat="0" applyFill="0" applyAlignment="0" applyProtection="0">
      <alignment vertical="center"/>
    </xf>
    <xf numFmtId="0" fontId="57" fillId="0" borderId="54" applyNumberFormat="0" applyFill="0" applyAlignment="0" applyProtection="0">
      <alignment vertical="center"/>
    </xf>
    <xf numFmtId="0" fontId="58" fillId="0" borderId="5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3" borderId="56" applyNumberFormat="0" applyAlignment="0" applyProtection="0">
      <alignment vertical="center"/>
    </xf>
    <xf numFmtId="0" fontId="60" fillId="14" borderId="57" applyNumberFormat="0" applyAlignment="0" applyProtection="0">
      <alignment vertical="center"/>
    </xf>
    <xf numFmtId="0" fontId="61" fillId="14" borderId="56" applyNumberFormat="0" applyAlignment="0" applyProtection="0">
      <alignment vertical="center"/>
    </xf>
    <xf numFmtId="0" fontId="62" fillId="15" borderId="58" applyNumberFormat="0" applyAlignment="0" applyProtection="0">
      <alignment vertical="center"/>
    </xf>
    <xf numFmtId="0" fontId="63" fillId="0" borderId="59" applyNumberFormat="0" applyFill="0" applyAlignment="0" applyProtection="0">
      <alignment vertical="center"/>
    </xf>
    <xf numFmtId="0" fontId="64" fillId="0" borderId="60" applyNumberFormat="0" applyFill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0" fillId="0" borderId="0"/>
  </cellStyleXfs>
  <cellXfs count="189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58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58" fontId="4" fillId="3" borderId="8" xfId="0" applyNumberFormat="1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  <protection hidden="1"/>
    </xf>
    <xf numFmtId="0" fontId="4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/>
    </xf>
    <xf numFmtId="58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 applyProtection="1">
      <alignment horizontal="center" vertical="center"/>
    </xf>
    <xf numFmtId="58" fontId="8" fillId="3" borderId="0" xfId="0" applyNumberFormat="1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alignment vertical="center"/>
      <protection hidden="1"/>
    </xf>
    <xf numFmtId="0" fontId="12" fillId="0" borderId="0" xfId="0" applyFont="1" applyFill="1" applyBorder="1" applyAlignment="1" applyProtection="1">
      <alignment horizontal="center" vertical="center"/>
      <protection hidden="1"/>
    </xf>
    <xf numFmtId="0" fontId="13" fillId="0" borderId="0" xfId="0" applyNumberFormat="1" applyFont="1" applyFill="1" applyAlignment="1" applyProtection="1">
      <alignment horizontal="center" vertical="top" wrapText="1"/>
      <protection hidden="1"/>
    </xf>
    <xf numFmtId="0" fontId="14" fillId="4" borderId="10" xfId="0" applyFont="1" applyFill="1" applyBorder="1" applyAlignment="1" applyProtection="1">
      <alignment horizontal="center" vertical="center"/>
      <protection hidden="1"/>
    </xf>
    <xf numFmtId="0" fontId="14" fillId="4" borderId="11" xfId="0" applyFont="1" applyFill="1" applyBorder="1" applyAlignment="1" applyProtection="1">
      <alignment horizontal="center" vertical="center"/>
      <protection hidden="1"/>
    </xf>
    <xf numFmtId="0" fontId="15" fillId="4" borderId="11" xfId="0" applyFont="1" applyFill="1" applyBorder="1" applyAlignment="1" applyProtection="1">
      <alignment horizontal="center" vertical="center"/>
      <protection hidden="1"/>
    </xf>
    <xf numFmtId="0" fontId="14" fillId="4" borderId="12" xfId="0" applyFont="1" applyFill="1" applyBorder="1" applyAlignment="1" applyProtection="1">
      <alignment horizontal="center" vertical="center"/>
      <protection hidden="1"/>
    </xf>
    <xf numFmtId="0" fontId="16" fillId="0" borderId="13" xfId="0" applyFont="1" applyFill="1" applyBorder="1" applyAlignment="1" applyProtection="1">
      <alignment horizontal="center" vertical="center" wrapText="1"/>
      <protection hidden="1"/>
    </xf>
    <xf numFmtId="0" fontId="17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Fill="1" applyBorder="1" applyAlignment="1" applyProtection="1">
      <alignment horizontal="center" vertical="center"/>
      <protection hidden="1"/>
    </xf>
    <xf numFmtId="0" fontId="6" fillId="0" borderId="15" xfId="0" applyFont="1" applyFill="1" applyBorder="1" applyAlignment="1" applyProtection="1">
      <alignment horizontal="center" vertical="center"/>
      <protection hidden="1"/>
    </xf>
    <xf numFmtId="0" fontId="6" fillId="0" borderId="14" xfId="0" applyFont="1" applyFill="1" applyBorder="1" applyAlignment="1" applyProtection="1">
      <alignment vertical="center" wrapText="1"/>
      <protection hidden="1"/>
    </xf>
    <xf numFmtId="0" fontId="6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6" xfId="0" applyFont="1" applyFill="1" applyBorder="1" applyAlignment="1" applyProtection="1">
      <alignment horizontal="center" vertical="center"/>
      <protection hidden="1"/>
    </xf>
    <xf numFmtId="0" fontId="16" fillId="0" borderId="17" xfId="0" applyFont="1" applyFill="1" applyBorder="1" applyAlignment="1" applyProtection="1">
      <alignment horizontal="center" vertical="center" wrapText="1"/>
      <protection hidden="1"/>
    </xf>
    <xf numFmtId="0" fontId="6" fillId="0" borderId="18" xfId="0" applyFont="1" applyFill="1" applyBorder="1" applyAlignment="1" applyProtection="1">
      <alignment horizontal="center" vertical="center"/>
      <protection hidden="1"/>
    </xf>
    <xf numFmtId="0" fontId="6" fillId="0" borderId="19" xfId="0" applyFont="1" applyFill="1" applyBorder="1" applyAlignment="1" applyProtection="1">
      <alignment vertical="center" wrapText="1"/>
      <protection hidden="1"/>
    </xf>
    <xf numFmtId="0" fontId="6" fillId="0" borderId="19" xfId="0" applyFont="1" applyFill="1" applyBorder="1" applyAlignment="1" applyProtection="1">
      <alignment horizontal="center" vertical="center" wrapText="1"/>
      <protection hidden="1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16" fillId="0" borderId="20" xfId="0" applyFont="1" applyFill="1" applyBorder="1" applyAlignment="1" applyProtection="1">
      <alignment horizontal="center" vertical="center" wrapText="1"/>
      <protection hidden="1"/>
    </xf>
    <xf numFmtId="0" fontId="6" fillId="0" borderId="21" xfId="0" applyFont="1" applyFill="1" applyBorder="1" applyAlignment="1" applyProtection="1">
      <alignment horizontal="center" vertical="center"/>
      <protection hidden="1"/>
    </xf>
    <xf numFmtId="0" fontId="6" fillId="0" borderId="22" xfId="0" applyFont="1" applyFill="1" applyBorder="1" applyAlignment="1" applyProtection="1">
      <alignment vertical="center" wrapText="1"/>
      <protection hidden="1"/>
    </xf>
    <xf numFmtId="0" fontId="6" fillId="0" borderId="22" xfId="0" applyFont="1" applyFill="1" applyBorder="1" applyAlignment="1" applyProtection="1">
      <alignment horizontal="center" vertical="center" wrapText="1"/>
      <protection hidden="1"/>
    </xf>
    <xf numFmtId="0" fontId="6" fillId="0" borderId="22" xfId="0" applyFont="1" applyFill="1" applyBorder="1" applyAlignment="1" applyProtection="1">
      <alignment horizontal="center" vertical="center"/>
      <protection hidden="1"/>
    </xf>
    <xf numFmtId="0" fontId="6" fillId="0" borderId="21" xfId="0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Border="1" applyAlignment="1" applyProtection="1">
      <alignment vertical="center"/>
      <protection hidden="1"/>
    </xf>
    <xf numFmtId="0" fontId="18" fillId="0" borderId="0" xfId="0" applyFont="1" applyFill="1" applyBorder="1" applyAlignment="1" applyProtection="1">
      <alignment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9" fillId="5" borderId="24" xfId="0" applyFont="1" applyFill="1" applyBorder="1" applyAlignment="1" applyProtection="1">
      <alignment horizontal="center" vertical="center" wrapText="1"/>
      <protection hidden="1"/>
    </xf>
    <xf numFmtId="0" fontId="19" fillId="5" borderId="25" xfId="0" applyFont="1" applyFill="1" applyBorder="1" applyAlignment="1" applyProtection="1">
      <alignment horizontal="center" vertical="center" wrapText="1"/>
      <protection hidden="1"/>
    </xf>
    <xf numFmtId="0" fontId="20" fillId="6" borderId="26" xfId="0" applyFont="1" applyFill="1" applyBorder="1" applyAlignment="1" applyProtection="1">
      <alignment horizontal="center" vertical="center" wrapText="1"/>
      <protection hidden="1"/>
    </xf>
    <xf numFmtId="0" fontId="20" fillId="6" borderId="27" xfId="0" applyFont="1" applyFill="1" applyBorder="1" applyAlignment="1" applyProtection="1">
      <alignment horizontal="center" vertical="center" wrapText="1"/>
      <protection hidden="1"/>
    </xf>
    <xf numFmtId="176" fontId="20" fillId="6" borderId="27" xfId="0" applyNumberFormat="1" applyFont="1" applyFill="1" applyBorder="1" applyAlignment="1" applyProtection="1">
      <alignment horizontal="center" vertical="center" wrapText="1"/>
      <protection hidden="1"/>
    </xf>
    <xf numFmtId="0" fontId="21" fillId="7" borderId="27" xfId="0" applyFont="1" applyFill="1" applyBorder="1" applyAlignment="1" applyProtection="1">
      <alignment horizontal="center" vertical="center" wrapText="1"/>
      <protection hidden="1"/>
    </xf>
    <xf numFmtId="0" fontId="21" fillId="7" borderId="28" xfId="0" applyFont="1" applyFill="1" applyBorder="1" applyAlignment="1" applyProtection="1">
      <alignment horizontal="center" vertical="center" wrapText="1"/>
      <protection hidden="1"/>
    </xf>
    <xf numFmtId="0" fontId="22" fillId="3" borderId="29" xfId="49" applyFont="1" applyFill="1" applyBorder="1" applyAlignment="1" applyProtection="1">
      <alignment horizontal="center" vertical="center" wrapText="1"/>
      <protection hidden="1"/>
    </xf>
    <xf numFmtId="0" fontId="22" fillId="3" borderId="30" xfId="0" applyFont="1" applyFill="1" applyBorder="1" applyAlignment="1" applyProtection="1">
      <alignment horizontal="center" vertical="center" wrapText="1"/>
      <protection hidden="1"/>
    </xf>
    <xf numFmtId="7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30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7" xfId="49" applyFont="1" applyFill="1" applyBorder="1" applyAlignment="1" applyProtection="1">
      <alignment horizontal="center" vertical="center" wrapText="1"/>
      <protection hidden="1"/>
    </xf>
    <xf numFmtId="0" fontId="22" fillId="3" borderId="19" xfId="0" applyFont="1" applyFill="1" applyBorder="1" applyAlignment="1" applyProtection="1">
      <alignment horizontal="center" vertical="center" wrapText="1"/>
      <protection hidden="1"/>
    </xf>
    <xf numFmtId="7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8" xfId="0" applyFont="1" applyFill="1" applyBorder="1" applyAlignment="1" applyProtection="1">
      <alignment horizontal="center" vertical="center" wrapText="1"/>
      <protection hidden="1"/>
    </xf>
    <xf numFmtId="0" fontId="22" fillId="3" borderId="33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5" xfId="0" applyFont="1" applyFill="1" applyBorder="1" applyAlignment="1" applyProtection="1">
      <alignment horizontal="center" vertical="center" wrapText="1"/>
      <protection hidden="1"/>
    </xf>
    <xf numFmtId="0" fontId="22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4" xfId="0" applyFont="1" applyFill="1" applyBorder="1" applyAlignment="1" applyProtection="1">
      <alignment horizontal="center" vertical="center" wrapText="1"/>
      <protection hidden="1"/>
    </xf>
    <xf numFmtId="0" fontId="22" fillId="3" borderId="34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4" xfId="0" applyFont="1" applyFill="1" applyBorder="1" applyAlignment="1" applyProtection="1">
      <alignment horizontal="center" vertical="center" wrapText="1"/>
      <protection hidden="1"/>
    </xf>
    <xf numFmtId="0" fontId="22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177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0" xfId="0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horizontal="center" vertical="center" wrapText="1"/>
      <protection hidden="1"/>
    </xf>
    <xf numFmtId="7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vertical="center" wrapText="1"/>
      <protection hidden="1"/>
    </xf>
    <xf numFmtId="177" fontId="22" fillId="3" borderId="36" xfId="0" applyNumberFormat="1" applyFont="1" applyFill="1" applyBorder="1" applyAlignment="1" applyProtection="1">
      <alignment vertical="center" wrapText="1"/>
      <protection hidden="1"/>
    </xf>
    <xf numFmtId="0" fontId="24" fillId="0" borderId="0" xfId="0" applyFont="1" applyProtection="1">
      <alignment vertical="center"/>
      <protection hidden="1"/>
    </xf>
    <xf numFmtId="0" fontId="24" fillId="0" borderId="0" xfId="0" applyFont="1" applyBorder="1" applyProtection="1">
      <alignment vertical="center"/>
      <protection hidden="1"/>
    </xf>
    <xf numFmtId="176" fontId="24" fillId="0" borderId="0" xfId="0" applyNumberFormat="1" applyFont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vertical="center"/>
      <protection hidden="1"/>
    </xf>
    <xf numFmtId="177" fontId="22" fillId="3" borderId="36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alignment vertical="center"/>
      <protection hidden="1"/>
    </xf>
    <xf numFmtId="177" fontId="30" fillId="0" borderId="0" xfId="0" applyNumberFormat="1" applyFont="1" applyProtection="1">
      <alignment vertical="center"/>
      <protection hidden="1"/>
    </xf>
    <xf numFmtId="176" fontId="30" fillId="0" borderId="0" xfId="0" applyNumberFormat="1" applyFont="1" applyProtection="1">
      <alignment vertical="center"/>
      <protection hidden="1"/>
    </xf>
    <xf numFmtId="177" fontId="30" fillId="0" borderId="0" xfId="0" applyNumberFormat="1" applyFont="1" applyFill="1" applyAlignment="1" applyProtection="1">
      <alignment horizontal="center" vertical="center"/>
      <protection hidden="1"/>
    </xf>
    <xf numFmtId="0" fontId="30" fillId="0" borderId="0" xfId="0" applyFont="1" applyProtection="1">
      <alignment vertical="center"/>
      <protection hidden="1"/>
    </xf>
    <xf numFmtId="0" fontId="30" fillId="0" borderId="0" xfId="0" applyFont="1">
      <alignment vertical="center"/>
    </xf>
    <xf numFmtId="0" fontId="31" fillId="8" borderId="0" xfId="0" applyNumberFormat="1" applyFont="1" applyFill="1" applyAlignment="1" applyProtection="1">
      <alignment horizontal="center" vertical="top" wrapText="1"/>
      <protection hidden="1"/>
    </xf>
    <xf numFmtId="177" fontId="31" fillId="8" borderId="0" xfId="0" applyNumberFormat="1" applyFont="1" applyFill="1" applyAlignment="1" applyProtection="1">
      <alignment horizontal="center" vertical="top" wrapText="1"/>
      <protection hidden="1"/>
    </xf>
    <xf numFmtId="176" fontId="31" fillId="8" borderId="0" xfId="0" applyNumberFormat="1" applyFont="1" applyFill="1" applyAlignment="1" applyProtection="1">
      <alignment horizontal="center" vertical="top" wrapText="1"/>
      <protection hidden="1"/>
    </xf>
    <xf numFmtId="177" fontId="32" fillId="0" borderId="0" xfId="0" applyNumberFormat="1" applyFont="1" applyFill="1" applyAlignment="1" applyProtection="1">
      <alignment horizontal="center" vertical="top" wrapText="1"/>
      <protection hidden="1"/>
    </xf>
    <xf numFmtId="0" fontId="33" fillId="9" borderId="37" xfId="0" applyNumberFormat="1" applyFont="1" applyFill="1" applyBorder="1" applyAlignment="1" applyProtection="1">
      <alignment horizontal="center" vertical="center" wrapText="1"/>
      <protection hidden="1"/>
    </xf>
    <xf numFmtId="177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176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4" fillId="10" borderId="38" xfId="0" applyFont="1" applyFill="1" applyBorder="1" applyAlignment="1" applyProtection="1">
      <alignment horizontal="center" vertical="center"/>
    </xf>
    <xf numFmtId="0" fontId="33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29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37" xfId="0" applyNumberFormat="1" applyFont="1" applyFill="1" applyBorder="1" applyAlignment="1" applyProtection="1">
      <alignment horizontal="center" vertical="center" wrapText="1"/>
      <protection hidden="1"/>
    </xf>
    <xf numFmtId="177" fontId="36" fillId="0" borderId="37" xfId="0" applyNumberFormat="1" applyFont="1" applyFill="1" applyBorder="1" applyAlignment="1" applyProtection="1">
      <alignment horizontal="center" vertical="center"/>
      <protection hidden="1"/>
    </xf>
    <xf numFmtId="176" fontId="37" fillId="0" borderId="37" xfId="0" applyNumberFormat="1" applyFont="1" applyBorder="1" applyAlignment="1" applyProtection="1">
      <alignment horizontal="center" vertical="center"/>
      <protection hidden="1"/>
    </xf>
    <xf numFmtId="176" fontId="30" fillId="0" borderId="37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Protection="1">
      <alignment vertical="center"/>
      <protection hidden="1"/>
    </xf>
    <xf numFmtId="0" fontId="38" fillId="0" borderId="40" xfId="0" applyFont="1" applyFill="1" applyBorder="1" applyAlignment="1" applyProtection="1">
      <alignment horizontal="center" vertical="center"/>
      <protection locked="0"/>
    </xf>
    <xf numFmtId="0" fontId="39" fillId="0" borderId="41" xfId="0" applyFont="1" applyFill="1" applyBorder="1" applyAlignment="1" applyProtection="1">
      <alignment horizontal="center" vertical="center"/>
      <protection hidden="1"/>
    </xf>
    <xf numFmtId="0" fontId="40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9" fillId="0" borderId="42" xfId="0" applyFont="1" applyFill="1" applyBorder="1" applyAlignment="1" applyProtection="1">
      <alignment horizontal="center" vertical="center"/>
      <protection hidden="1"/>
    </xf>
    <xf numFmtId="0" fontId="39" fillId="0" borderId="43" xfId="0" applyFont="1" applyFill="1" applyBorder="1" applyAlignment="1" applyProtection="1">
      <alignment horizontal="center" vertical="center"/>
      <protection hidden="1"/>
    </xf>
    <xf numFmtId="0" fontId="39" fillId="0" borderId="44" xfId="0" applyFont="1" applyFill="1" applyBorder="1" applyAlignment="1" applyProtection="1">
      <alignment horizontal="center" vertical="center"/>
      <protection hidden="1"/>
    </xf>
    <xf numFmtId="0" fontId="38" fillId="0" borderId="45" xfId="0" applyFont="1" applyFill="1" applyBorder="1" applyAlignment="1" applyProtection="1">
      <alignment horizontal="center" vertical="center"/>
      <protection locked="0"/>
    </xf>
    <xf numFmtId="0" fontId="39" fillId="0" borderId="46" xfId="0" applyFont="1" applyFill="1" applyBorder="1" applyAlignment="1" applyProtection="1">
      <alignment horizontal="center" vertical="center"/>
      <protection hidden="1"/>
    </xf>
    <xf numFmtId="0" fontId="39" fillId="0" borderId="47" xfId="0" applyFont="1" applyFill="1" applyBorder="1" applyAlignment="1" applyProtection="1">
      <alignment horizontal="center" vertical="center"/>
      <protection hidden="1"/>
    </xf>
    <xf numFmtId="0" fontId="12" fillId="0" borderId="48" xfId="0" applyNumberFormat="1" applyFont="1" applyFill="1" applyBorder="1" applyAlignment="1" applyProtection="1">
      <alignment horizontal="center" vertical="center" wrapText="1"/>
      <protection hidden="1"/>
    </xf>
    <xf numFmtId="0" fontId="38" fillId="0" borderId="40" xfId="0" applyFont="1" applyFill="1" applyBorder="1" applyAlignment="1" applyProtection="1">
      <alignment horizontal="center" vertical="center"/>
      <protection hidden="1"/>
    </xf>
    <xf numFmtId="177" fontId="38" fillId="0" borderId="40" xfId="0" applyNumberFormat="1" applyFont="1" applyFill="1" applyBorder="1" applyAlignment="1" applyProtection="1">
      <alignment horizontal="center" vertical="center"/>
      <protection hidden="1"/>
    </xf>
    <xf numFmtId="0" fontId="43" fillId="0" borderId="0" xfId="0" applyFont="1" applyFill="1" applyAlignment="1">
      <alignment vertical="center" wrapText="1"/>
    </xf>
    <xf numFmtId="0" fontId="44" fillId="0" borderId="0" xfId="0" applyFont="1" applyAlignment="1">
      <alignment horizontal="left" vertical="center" wrapText="1"/>
    </xf>
    <xf numFmtId="0" fontId="43" fillId="7" borderId="0" xfId="0" applyFont="1" applyFill="1" applyAlignment="1">
      <alignment horizontal="left" vertical="center" wrapText="1"/>
    </xf>
    <xf numFmtId="0" fontId="33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49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vertical="center" wrapText="1"/>
    </xf>
    <xf numFmtId="0" fontId="33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horizontal="center" vertical="center" wrapText="1"/>
    </xf>
    <xf numFmtId="176" fontId="30" fillId="0" borderId="50" xfId="0" applyNumberFormat="1" applyFont="1" applyFill="1" applyBorder="1" applyAlignment="1" applyProtection="1">
      <alignment horizontal="center" vertical="center"/>
      <protection hidden="1"/>
    </xf>
    <xf numFmtId="0" fontId="46" fillId="11" borderId="51" xfId="0" applyNumberFormat="1" applyFont="1" applyFill="1" applyBorder="1" applyAlignment="1" applyProtection="1">
      <alignment horizontal="center" vertical="center" wrapText="1"/>
      <protection hidden="1"/>
    </xf>
    <xf numFmtId="0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6" fillId="11" borderId="0" xfId="0" applyNumberFormat="1" applyFont="1" applyFill="1" applyAlignment="1" applyProtection="1">
      <alignment horizontal="center" vertical="center" wrapText="1"/>
      <protection hidden="1"/>
    </xf>
    <xf numFmtId="176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7" fillId="0" borderId="52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Protection="1">
      <alignment vertical="center"/>
      <protection hidden="1"/>
    </xf>
    <xf numFmtId="0" fontId="48" fillId="11" borderId="51" xfId="0" applyFont="1" applyFill="1" applyBorder="1" applyAlignment="1" applyProtection="1">
      <alignment horizontal="center" vertical="center"/>
      <protection hidden="1"/>
    </xf>
    <xf numFmtId="0" fontId="48" fillId="11" borderId="0" xfId="0" applyFont="1" applyFill="1" applyAlignment="1" applyProtection="1">
      <alignment horizontal="center" vertical="center"/>
      <protection hidden="1"/>
    </xf>
    <xf numFmtId="177" fontId="48" fillId="11" borderId="0" xfId="0" applyNumberFormat="1" applyFont="1" applyFill="1" applyAlignment="1" applyProtection="1">
      <alignment horizontal="center" vertical="center"/>
      <protection hidden="1"/>
    </xf>
    <xf numFmtId="176" fontId="48" fillId="11" borderId="0" xfId="0" applyNumberFormat="1" applyFont="1" applyFill="1" applyAlignment="1" applyProtection="1">
      <alignment horizontal="center" vertical="center"/>
      <protection hidden="1"/>
    </xf>
    <xf numFmtId="177" fontId="49" fillId="0" borderId="52" xfId="0" applyNumberFormat="1" applyFont="1" applyFill="1" applyBorder="1" applyAlignment="1" applyProtection="1">
      <alignment horizontal="center" vertical="center"/>
      <protection hidden="1"/>
    </xf>
    <xf numFmtId="0" fontId="48" fillId="0" borderId="0" xfId="0" applyFont="1" applyFill="1" applyAlignment="1" applyProtection="1">
      <alignment vertical="center"/>
      <protection hidden="1"/>
    </xf>
    <xf numFmtId="0" fontId="12" fillId="0" borderId="37" xfId="0" applyNumberFormat="1" applyFont="1" applyFill="1" applyBorder="1" applyAlignment="1" applyProtection="1">
      <alignment horizontal="left" vertical="center" wrapText="1"/>
      <protection hidden="1"/>
    </xf>
    <xf numFmtId="0" fontId="50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left" vertical="center" wrapText="1"/>
      <protection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56">
    <dxf>
      <fill>
        <patternFill patternType="solid">
          <bgColor theme="9" tint="0.6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5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/>
        <vertical/>
        <horizontal/>
      </border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n">
          <color theme="5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ck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5"/>
        </left>
        <right/>
        <top style="thin">
          <color theme="5"/>
        </top>
        <bottom style="medium">
          <color theme="5"/>
        </bottom>
        <vertical/>
        <horizontal/>
      </border>
    </dxf>
    <dxf>
      <fill>
        <patternFill patternType="none"/>
      </fill>
      <border>
        <left/>
        <right/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EBEF"/>
          </stop>
        </gradientFill>
      </fill>
    </dxf>
    <dxf>
      <fill>
        <gradientFill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5" tint="0.9"/>
          </stop>
          <stop position="1">
            <color rgb="FFFFEBEF"/>
          </stop>
        </gradient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5"/>
      </font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5"/>
        </top>
        <bottom/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border>
        <left style="thin">
          <color theme="5"/>
        </left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 tint="0.6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ill>
        <gradientFill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/>
        <top style="thin">
          <color theme="5" tint="0.6"/>
        </top>
        <bottom style="medium">
          <color theme="5"/>
        </bottom>
        <vertical/>
        <horizontal/>
      </border>
    </dxf>
    <dxf>
      <fill>
        <patternFill patternType="solid">
          <bgColor theme="5"/>
        </patternFill>
      </fill>
      <border>
        <left style="thin">
          <color theme="5" tint="0.6"/>
        </left>
        <right style="medium">
          <color theme="5"/>
        </right>
        <top style="medium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 style="thin">
          <color theme="5" tint="0.6"/>
        </right>
        <top style="medium">
          <color theme="5"/>
        </top>
        <bottom style="thin">
          <color theme="5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theme="1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u val="none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0" tint="-0.08"/>
        </horizontal>
      </border>
    </dxf>
    <dxf/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7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lightUp">
          <fgColor theme="0" tint="-0.15"/>
          <bgColor theme="0"/>
        </patternFill>
      </fill>
      <border>
        <left/>
        <right/>
        <top style="thin">
          <color theme="5" tint="0.6"/>
        </top>
        <bottom style="thin">
          <color theme="5" tint="0.66"/>
        </bottom>
        <vertical/>
        <horizontal style="thin">
          <color theme="5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dotted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dotted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/>
        </vertical>
        <horizontal style="dotted">
          <color theme="5"/>
        </horizontal>
      </border>
    </dxf>
    <dxf>
      <fill>
        <patternFill patternType="solid">
          <bgColor theme="8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/>
        <vertical/>
        <horizontal/>
      </border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n">
          <color theme="8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ck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8"/>
        </left>
        <right/>
        <top style="thin">
          <color theme="8"/>
        </top>
        <bottom style="medium">
          <color theme="8"/>
        </bottom>
        <vertical/>
        <horizontal/>
      </border>
    </dxf>
    <dxf>
      <fill>
        <patternFill patternType="none"/>
      </fill>
      <border>
        <left/>
        <right/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medium">
          <color theme="8"/>
        </left>
        <right/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thin">
          <color theme="8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 tint="0.66"/>
        </left>
        <right style="thin">
          <color theme="8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 tint="0.66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6"/>
        </vertical>
        <horizontal style="thin">
          <color theme="8" tint="0.6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 tint="0.6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dotted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dotted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/>
        </vertical>
        <horizontal style="dotted">
          <color theme="8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0" defaultTableStyle="TableStyleMedium2" defaultPivotStyle="PivotStyleLight16">
    <tableStyle name="中色系标题行表格样式_1201b3" count="10" xr9:uid="{DC0D42D9-68C8-4E2F-87B1-F5B92ACB2772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TotalCell" dxfId="2"/>
      <tableStyleElement type="lastTotalCell" dxfId="1"/>
    </tableStyle>
    <tableStyle name="渐变蓝色粉色系标题行表格样式_c9cfc0" count="7" xr9:uid="{E784347F-C4D2-44F2-AA66-3CDB08F6A57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  <tableStyle name="中色系标题行镶边行表格样式_c5c725" count="7" xr9:uid="{0C71778B-5B83-4796-9F62-852A99A627E1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</tableStyle>
    <tableStyle name="三线式标题行镶边行表格样式_6dddda" count="9" xr9:uid="{3B10D4EB-75EB-4F78-839D-927BC56700F6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firstHeaderCell" dxfId="26"/>
      <tableStyleElement type="lastHeaderCell" dxfId="25"/>
    </tableStyle>
    <tableStyle name="简约边框浅色系标题行镶边行表格样式_ef84e4" count="10" xr9:uid="{E470054F-5876-470B-A51D-C04093616F98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  <tableStyleElement type="secondColumnStripe" dxfId="36"/>
      <tableStyleElement type="firstTotalCell" dxfId="35"/>
      <tableStyleElement type="lastTotalCell" dxfId="34"/>
    </tableStyle>
    <tableStyle name="中色系标题行表格样式_cc8cea" count="10" xr9:uid="{F359FAC8-AD6C-4912-9BDC-A6D6BF0B2360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  <tableStyleElement type="secondColumnStripe" dxfId="46"/>
      <tableStyleElement type="firstTotalCell" dxfId="45"/>
      <tableStyleElement type="lastTotalCell" dxfId="44"/>
    </tableStyle>
    <tableStyle name="中色系标题行表格样式_9615fd" count="7" xr9:uid="{BFE75D86-6B90-482E-9579-5896475239B0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secondRowStripe" dxfId="55"/>
      <tableStyleElement type="firstColumnStripe" dxfId="54"/>
    </tableStyle>
    <tableStyle name="渐变蓝色粉色系标题行表格样式_0786f4" count="7" xr9:uid="{F14D276C-16E2-47DB-9F21-C92913924E68}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secondRowStripe" dxfId="62"/>
      <tableStyleElement type="firstColumnStripe" dxfId="61"/>
    </tableStyle>
    <tableStyle name="中色系标题行标题列镶边行表格样式_2c0617" count="11" xr9:uid="{B235362F-4E5B-4FCD-8918-BA7EE26BEB18}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secondRowStripe" dxfId="73"/>
      <tableStyleElement type="firstColumnStripe" dxfId="72"/>
      <tableStyleElement type="secondColumnStripe" dxfId="71"/>
      <tableStyleElement type="firstHeaderCell" dxfId="70"/>
      <tableStyleElement type="firstTotalCell" dxfId="69"/>
      <tableStyleElement type="lastTotalCell" dxfId="68"/>
    </tableStyle>
    <tableStyle name="简约标题行表格样式单线表_33a170" count="6" xr9:uid="{0676A9F8-351A-4C4D-B673-7A181E66601D}">
      <tableStyleElement type="wholeTable" dxfId="84"/>
      <tableStyleElement type="headerRow" dxfId="83"/>
      <tableStyleElement type="firstColumn" dxfId="82"/>
      <tableStyleElement type="lastColumn" dxfId="81"/>
      <tableStyleElement type="secondRowStripe" dxfId="80"/>
      <tableStyleElement type="firstColumnStripe" dxfId="79"/>
    </tableStyle>
    <tableStyle name="简约浅色系标题行首列表格样式_9e9182" count="12" xr9:uid="{DD768C8E-EE30-4AE7-9ECE-639EB46B2A0D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secondRowStripe" dxfId="91"/>
      <tableStyleElement type="firstColumnStripe" dxfId="90"/>
      <tableStyleElement type="secondColumnStripe" dxfId="89"/>
      <tableStyleElement type="firstHeaderCell" dxfId="88"/>
      <tableStyleElement type="lastHeaderCell" dxfId="87"/>
      <tableStyleElement type="firstTotalCell" dxfId="86"/>
      <tableStyleElement type="lastTotalCell" dxfId="85"/>
    </tableStyle>
    <tableStyle name="渐变蓝色橙色系标题行首列镶边行表格样式_67a17f" count="7" xr9:uid="{8672FEE1-25DA-4BB8-829A-28250DF77FA4}">
      <tableStyleElement type="wholeTable" dxfId="103"/>
      <tableStyleElement type="headerRow" dxfId="102"/>
      <tableStyleElement type="totalRow" dxfId="101"/>
      <tableStyleElement type="firstColumn" dxfId="100"/>
      <tableStyleElement type="lastColumn" dxfId="99"/>
      <tableStyleElement type="secondRowStripe" dxfId="98"/>
      <tableStyleElement type="firstColumnStripe" dxfId="97"/>
    </tableStyle>
    <tableStyle name="中色系标题行标题列表格样式_bdc70c" count="12" xr9:uid="{178770BB-1FFB-465A-8EA5-01D4262F3BED}">
      <tableStyleElement type="wholeTable" dxfId="115"/>
      <tableStyleElement type="headerRow" dxfId="114"/>
      <tableStyleElement type="totalRow" dxfId="113"/>
      <tableStyleElement type="firstColumn" dxfId="112"/>
      <tableStyleElement type="lastColumn" dxfId="111"/>
      <tableStyleElement type="secondRowStripe" dxfId="110"/>
      <tableStyleElement type="firstColumnStripe" dxfId="109"/>
      <tableStyleElement type="secondColumnStripe" dxfId="108"/>
      <tableStyleElement type="firstHeaderCell" dxfId="107"/>
      <tableStyleElement type="lastHeaderCell" dxfId="106"/>
      <tableStyleElement type="firstTotalCell" dxfId="105"/>
      <tableStyleElement type="lastTotalCell" dxfId="104"/>
    </tableStyle>
    <tableStyle name="简约中色系首列镶边行表格样式_504096" count="5" xr9:uid="{A6E1E78A-1607-461A-8398-3C2A34E3193A}">
      <tableStyleElement type="wholeTable" dxfId="120"/>
      <tableStyleElement type="headerRow" dxfId="119"/>
      <tableStyleElement type="firstColumn" dxfId="118"/>
      <tableStyleElement type="firstRowStripe" dxfId="117"/>
      <tableStyleElement type="firstColumnStripe" dxfId="116"/>
    </tableStyle>
    <tableStyle name="中色系标题行尾列表格样式_735f05" count="7" xr9:uid="{93D847C0-C940-403D-B3EF-8D9050E3CCA9}">
      <tableStyleElement type="wholeTable" dxfId="127"/>
      <tableStyleElement type="headerRow" dxfId="126"/>
      <tableStyleElement type="totalRow" dxfId="125"/>
      <tableStyleElement type="firstColumn" dxfId="124"/>
      <tableStyleElement type="lastColumn" dxfId="123"/>
      <tableStyleElement type="secondRowStripe" dxfId="122"/>
      <tableStyleElement type="firstColumnStripe" dxfId="121"/>
    </tableStyle>
    <tableStyle name="深色系标题行汇总行表格样式_8205f8" count="10" xr9:uid="{77FEDA73-8B53-4AA7-8F5F-9BF0000A0DEE}">
      <tableStyleElement type="wholeTable" dxfId="137"/>
      <tableStyleElement type="headerRow" dxfId="136"/>
      <tableStyleElement type="totalRow" dxfId="135"/>
      <tableStyleElement type="firstColumn" dxfId="134"/>
      <tableStyleElement type="lastColumn" dxfId="133"/>
      <tableStyleElement type="secondRowStripe" dxfId="132"/>
      <tableStyleElement type="firstColumnStripe" dxfId="131"/>
      <tableStyleElement type="secondColumnStripe" dxfId="130"/>
      <tableStyleElement type="firstTotalCell" dxfId="129"/>
      <tableStyleElement type="lastTotalCell" dxfId="128"/>
    </tableStyle>
    <tableStyle name="深色系标题行汇总行镶边行表格样式_f7e46a" count="10" xr9:uid="{DC3134CB-7622-4D91-821C-14C50D3EF7F5}">
      <tableStyleElement type="wholeTable" dxfId="147"/>
      <tableStyleElement type="headerRow" dxfId="146"/>
      <tableStyleElement type="totalRow" dxfId="145"/>
      <tableStyleElement type="firstColumn" dxfId="144"/>
      <tableStyleElement type="lastColumn" dxfId="143"/>
      <tableStyleElement type="secondRowStripe" dxfId="142"/>
      <tableStyleElement type="firstColumnStripe" dxfId="141"/>
      <tableStyleElement type="secondColumnStripe" dxfId="140"/>
      <tableStyleElement type="firstTotalCell" dxfId="139"/>
      <tableStyleElement type="lastTotalCell" dxfId="138"/>
    </tableStyle>
    <tableStyle name="中色系标题行镶边行汇总行表格样式_16bcb4" count="9" xr9:uid="{E8D0A51D-31C0-47FB-959C-4800047C6135}">
      <tableStyleElement type="wholeTable" dxfId="156"/>
      <tableStyleElement type="headerRow" dxfId="155"/>
      <tableStyleElement type="totalRow" dxfId="154"/>
      <tableStyleElement type="firstColumn" dxfId="153"/>
      <tableStyleElement type="lastColumn" dxfId="152"/>
      <tableStyleElement type="secondRowStripe" dxfId="151"/>
      <tableStyleElement type="firstColumnStripe" dxfId="150"/>
      <tableStyleElement type="firstHeaderCell" dxfId="149"/>
      <tableStyleElement type="firstTotalCell" dxfId="148"/>
    </tableStyle>
    <tableStyle name="浅色系底纹填充标题行表格样式_f16b1f" count="5" xr9:uid="{3DC3EAA4-7AD9-4BB6-914D-FBF2DB75CF0D}">
      <tableStyleElement type="wholeTable" dxfId="161"/>
      <tableStyleElement type="headerRow" dxfId="160"/>
      <tableStyleElement type="totalRow" dxfId="159"/>
      <tableStyleElement type="firstColumn" dxfId="158"/>
      <tableStyleElement type="lastColumn" dxfId="157"/>
    </tableStyle>
    <tableStyle name="中色系标题行虚线棋盘格表格样式_8bd7dd" count="7" xr9:uid="{E9CDDE92-F9AE-4097-B434-A89FAE951C03}">
      <tableStyleElement type="wholeTable" dxfId="168"/>
      <tableStyleElement type="headerRow" dxfId="167"/>
      <tableStyleElement type="totalRow" dxfId="166"/>
      <tableStyleElement type="firstColumn" dxfId="165"/>
      <tableStyleElement type="lastColumn" dxfId="164"/>
      <tableStyleElement type="secondRowStripe" dxfId="163"/>
      <tableStyleElement type="firstColumnStripe" dxfId="162"/>
    </tableStyle>
    <tableStyle name="中色系标题行镶边行表格样式_231c15" count="7" xr9:uid="{127FFA6C-4C96-4866-8B67-58D486F9B3B2}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secondRowStripe" dxfId="170"/>
      <tableStyleElement type="firstColumnStripe" dxfId="169"/>
    </tableStyle>
    <tableStyle name="三线式标题行镶边行表格样式_327932" count="9" xr9:uid="{485944A1-9A04-4C47-8205-F6D8C1DE34E4}">
      <tableStyleElement type="wholeTable" dxfId="184"/>
      <tableStyleElement type="headerRow" dxfId="183"/>
      <tableStyleElement type="totalRow" dxfId="182"/>
      <tableStyleElement type="firstColumn" dxfId="181"/>
      <tableStyleElement type="lastColumn" dxfId="180"/>
      <tableStyleElement type="secondRowStripe" dxfId="179"/>
      <tableStyleElement type="firstColumnStripe" dxfId="178"/>
      <tableStyleElement type="firstHeaderCell" dxfId="177"/>
      <tableStyleElement type="lastHeaderCell" dxfId="176"/>
    </tableStyle>
    <tableStyle name="简约边框浅色系标题行镶边行表格样式_8adc1c" count="10" xr9:uid="{491B983A-C093-4793-BDF6-3603D9861973}">
      <tableStyleElement type="wholeTable" dxfId="194"/>
      <tableStyleElement type="headerRow" dxfId="193"/>
      <tableStyleElement type="totalRow" dxfId="192"/>
      <tableStyleElement type="firstColumn" dxfId="191"/>
      <tableStyleElement type="lastColumn" dxfId="190"/>
      <tableStyleElement type="secondRowStripe" dxfId="189"/>
      <tableStyleElement type="firstColumnStripe" dxfId="188"/>
      <tableStyleElement type="secondColumnStripe" dxfId="187"/>
      <tableStyleElement type="firstTotalCell" dxfId="186"/>
      <tableStyleElement type="lastTotalCell" dxfId="185"/>
    </tableStyle>
    <tableStyle name="浅色系标题行表格样式_2de272" count="10" xr9:uid="{6BDC08C8-AAD3-467D-AF36-11D80E0D6DFF}">
      <tableStyleElement type="wholeTable" dxfId="204"/>
      <tableStyleElement type="headerRow" dxfId="203"/>
      <tableStyleElement type="totalRow" dxfId="202"/>
      <tableStyleElement type="firstColumn" dxfId="201"/>
      <tableStyleElement type="lastColumn" dxfId="200"/>
      <tableStyleElement type="secondRowStripe" dxfId="199"/>
      <tableStyleElement type="firstColumnStripe" dxfId="198"/>
      <tableStyleElement type="secondColumnStripe" dxfId="197"/>
      <tableStyleElement type="firstTotalCell" dxfId="196"/>
      <tableStyleElement type="lastTotalCell" dxfId="195"/>
    </tableStyle>
    <tableStyle name="中色系标题行镶边行表格样式_6e22f3" count="7" xr9:uid="{670A6BC2-9B60-4009-B790-9932945A2D53}">
      <tableStyleElement type="wholeTable" dxfId="211"/>
      <tableStyleElement type="headerRow" dxfId="210"/>
      <tableStyleElement type="totalRow" dxfId="209"/>
      <tableStyleElement type="firstColumn" dxfId="208"/>
      <tableStyleElement type="lastColumn" dxfId="207"/>
      <tableStyleElement type="secondRowStripe" dxfId="206"/>
      <tableStyleElement type="firstColumnStripe" dxfId="205"/>
    </tableStyle>
    <tableStyle name="中色系标题行表格样式_54e5fd" count="10" xr9:uid="{297C6DAC-85D1-464F-A72A-6CFE95B73F15}">
      <tableStyleElement type="wholeTable" dxfId="221"/>
      <tableStyleElement type="headerRow" dxfId="220"/>
      <tableStyleElement type="totalRow" dxfId="219"/>
      <tableStyleElement type="firstColumn" dxfId="218"/>
      <tableStyleElement type="lastColumn" dxfId="217"/>
      <tableStyleElement type="secondRowStripe" dxfId="216"/>
      <tableStyleElement type="firstColumnStripe" dxfId="215"/>
      <tableStyleElement type="secondColumnStripe" dxfId="214"/>
      <tableStyleElement type="firstTotalCell" dxfId="213"/>
      <tableStyleElement type="lastTotalCell" dxfId="212"/>
    </tableStyle>
    <tableStyle name="中色系标题行虚线棋盘格表格样式_762f4c" count="7" xr9:uid="{A225692E-9247-4F7C-9E41-B9ADE835D867}">
      <tableStyleElement type="wholeTable" dxfId="228"/>
      <tableStyleElement type="headerRow" dxfId="227"/>
      <tableStyleElement type="totalRow" dxfId="226"/>
      <tableStyleElement type="firstColumn" dxfId="225"/>
      <tableStyleElement type="lastColumn" dxfId="224"/>
      <tableStyleElement type="secondRowStripe" dxfId="223"/>
      <tableStyleElement type="firstColumnStripe" dxfId="222"/>
    </tableStyle>
    <tableStyle name="渐变蓝色绿色系标题行表格样式_1c86fb" count="7" xr9:uid="{DC85FE9A-B89E-40AD-BE29-8BFC50AC7E1A}">
      <tableStyleElement type="wholeTable" dxfId="235"/>
      <tableStyleElement type="headerRow" dxfId="234"/>
      <tableStyleElement type="totalRow" dxfId="233"/>
      <tableStyleElement type="firstColumn" dxfId="232"/>
      <tableStyleElement type="lastColumn" dxfId="231"/>
      <tableStyleElement type="secondRowStripe" dxfId="230"/>
      <tableStyleElement type="firstColumnStripe" dxfId="229"/>
    </tableStyle>
    <tableStyle name="简约边框浅色系标题行镶边行表格样式_85b9f4" count="10" xr9:uid="{0082E1FD-BC80-40DF-934B-148FCF45D771}">
      <tableStyleElement type="wholeTable" dxfId="245"/>
      <tableStyleElement type="headerRow" dxfId="244"/>
      <tableStyleElement type="totalRow" dxfId="243"/>
      <tableStyleElement type="firstColumn" dxfId="242"/>
      <tableStyleElement type="lastColumn" dxfId="241"/>
      <tableStyleElement type="secondRowStripe" dxfId="240"/>
      <tableStyleElement type="firstColumnStripe" dxfId="239"/>
      <tableStyleElement type="secondColumnStripe" dxfId="238"/>
      <tableStyleElement type="firstTotalCell" dxfId="237"/>
      <tableStyleElement type="lastTotalCell" dxfId="236"/>
    </tableStyle>
    <tableStyle name="浅色系标题行表格样式_b4126a" count="10" xr9:uid="{6D877327-98C5-47EC-B0A1-8987EA3B9F85}">
      <tableStyleElement type="wholeTable" dxfId="255"/>
      <tableStyleElement type="headerRow" dxfId="254"/>
      <tableStyleElement type="totalRow" dxfId="253"/>
      <tableStyleElement type="firstColumn" dxfId="252"/>
      <tableStyleElement type="lastColumn" dxfId="251"/>
      <tableStyleElement type="secondRowStripe" dxfId="250"/>
      <tableStyleElement type="firstColumnStripe" dxfId="249"/>
      <tableStyleElement type="secondColumnStripe" dxfId="248"/>
      <tableStyleElement type="firstTotalCell" dxfId="247"/>
      <tableStyleElement type="lastTotalCell" dxfId="2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64965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5" name="椭圆形标注 4"/>
        <xdr:cNvSpPr/>
      </xdr:nvSpPr>
      <xdr:spPr>
        <a:xfrm>
          <a:off x="15778480" y="46990"/>
          <a:ext cx="216916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6" name="文本框 5"/>
        <xdr:cNvSpPr txBox="1"/>
      </xdr:nvSpPr>
      <xdr:spPr>
        <a:xfrm>
          <a:off x="16031845" y="92075"/>
          <a:ext cx="142875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64965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3" name="椭圆形标注 2"/>
        <xdr:cNvSpPr/>
      </xdr:nvSpPr>
      <xdr:spPr>
        <a:xfrm>
          <a:off x="15796895" y="46990"/>
          <a:ext cx="216916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4" name="文本框 3"/>
        <xdr:cNvSpPr txBox="1"/>
      </xdr:nvSpPr>
      <xdr:spPr>
        <a:xfrm>
          <a:off x="16050260" y="92075"/>
          <a:ext cx="142875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474980</xdr:colOff>
      <xdr:row>0</xdr:row>
      <xdr:rowOff>635</xdr:rowOff>
    </xdr:from>
    <xdr:to>
      <xdr:col>2</xdr:col>
      <xdr:colOff>922020</xdr:colOff>
      <xdr:row>1</xdr:row>
      <xdr:rowOff>15875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39665" y="635"/>
          <a:ext cx="447040" cy="379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814070</xdr:colOff>
      <xdr:row>0</xdr:row>
      <xdr:rowOff>5080</xdr:rowOff>
    </xdr:from>
    <xdr:to>
      <xdr:col>2</xdr:col>
      <xdr:colOff>1161415</xdr:colOff>
      <xdr:row>1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78705" y="5080"/>
          <a:ext cx="347345" cy="28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tabSelected="1" topLeftCell="B1" workbookViewId="0">
      <pane ySplit="2" topLeftCell="A3" activePane="bottomLeft" state="frozen"/>
      <selection/>
      <selection pane="bottomLeft" activeCell="K9" sqref="K9"/>
    </sheetView>
  </sheetViews>
  <sheetFormatPr defaultColWidth="9" defaultRowHeight="12"/>
  <cols>
    <col min="1" max="1" width="18.6666666666667" style="120" customWidth="1"/>
    <col min="2" max="2" width="31.775" style="121" customWidth="1"/>
    <col min="3" max="3" width="13.0916666666667" style="122" customWidth="1"/>
    <col min="4" max="4" width="10.6666666666667" style="122" customWidth="1"/>
    <col min="5" max="6" width="21.3333333333333" style="122" customWidth="1"/>
    <col min="7" max="7" width="9.63333333333333" style="122" customWidth="1"/>
    <col min="8" max="8" width="14.8916666666667" style="122" customWidth="1"/>
    <col min="9" max="9" width="15.5583333333333" style="122" customWidth="1"/>
    <col min="10" max="10" width="15.775" style="122" customWidth="1"/>
    <col min="11" max="11" width="11.975" style="123" customWidth="1"/>
    <col min="12" max="12" width="9.75" style="124" customWidth="1"/>
    <col min="13" max="13" width="9.74166666666667" style="125" customWidth="1"/>
    <col min="14" max="14" width="1.89166666666667" style="126" customWidth="1"/>
    <col min="15" max="15" width="10.6666666666667" style="127"/>
    <col min="16" max="16" width="9" style="127"/>
    <col min="17" max="17" width="10" style="127" customWidth="1"/>
    <col min="18" max="16384" width="9" style="127"/>
  </cols>
  <sheetData>
    <row r="1" ht="40" customHeight="1" spans="1:21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L1" s="130"/>
      <c r="M1" s="131"/>
    </row>
    <row r="2" s="117" customFormat="1" ht="59" customHeight="1" spans="1:21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3" t="s">
        <v>11</v>
      </c>
      <c r="L2" s="134" t="s">
        <v>12</v>
      </c>
      <c r="M2" s="132" t="s">
        <v>13</v>
      </c>
      <c r="N2" s="135"/>
      <c r="O2" s="136" t="s">
        <v>14</v>
      </c>
      <c r="P2" s="136" t="s">
        <v>15</v>
      </c>
      <c r="Q2" s="136"/>
    </row>
    <row r="3" s="118" customFormat="1" ht="32" customHeight="1" spans="1:21">
      <c r="A3" s="137" t="s">
        <v>16</v>
      </c>
      <c r="B3" s="138" t="s">
        <v>17</v>
      </c>
      <c r="C3" s="138" t="s">
        <v>18</v>
      </c>
      <c r="D3" s="138" t="s">
        <v>19</v>
      </c>
      <c r="E3" s="138" t="s">
        <v>20</v>
      </c>
      <c r="F3" s="138" t="s">
        <v>21</v>
      </c>
      <c r="G3" s="139" t="s">
        <v>22</v>
      </c>
      <c r="H3" s="140" t="s">
        <v>23</v>
      </c>
      <c r="I3" s="140" t="s">
        <v>24</v>
      </c>
      <c r="J3" s="141" t="s">
        <v>25</v>
      </c>
      <c r="K3" s="142">
        <f>IF(AND($O$3&lt;=1500,$O$4&lt;=0.5,($O$5+$O$6+$O$7)&lt;=90,$O$5&lt;=60,$O$6&lt;=60,$O$7&lt;=60),L3*45+3,"")</f>
        <v>25.5</v>
      </c>
      <c r="L3" s="143">
        <f t="shared" ref="L3:L11" si="0">$O$4</f>
        <v>0.5</v>
      </c>
      <c r="M3" s="144"/>
      <c r="N3" s="145"/>
      <c r="O3" s="146">
        <v>599</v>
      </c>
      <c r="P3" s="147" t="s">
        <v>26</v>
      </c>
      <c r="Q3" s="147"/>
    </row>
    <row r="4" s="118" customFormat="1" ht="32" customHeight="1" spans="1:21">
      <c r="A4" s="148"/>
      <c r="B4" s="138" t="s">
        <v>27</v>
      </c>
      <c r="C4" s="138" t="s">
        <v>18</v>
      </c>
      <c r="D4" s="138" t="s">
        <v>28</v>
      </c>
      <c r="E4" s="138" t="s">
        <v>29</v>
      </c>
      <c r="F4" s="138"/>
      <c r="G4" s="139"/>
      <c r="H4" s="149"/>
      <c r="I4" s="149"/>
      <c r="J4" s="150"/>
      <c r="K4" s="142">
        <f>IF(AND($O$3&lt;=1500,$O$4&lt;=0.5,($O$5+$O$6+$O$7)&lt;=90,$O$5&lt;=60,$O$6&lt;=60,$O$7&lt;=60),L4*35+3,"")</f>
        <v>20.5</v>
      </c>
      <c r="L4" s="143">
        <f t="shared" si="0"/>
        <v>0.5</v>
      </c>
      <c r="M4" s="144"/>
      <c r="N4" s="145"/>
      <c r="O4" s="146">
        <v>0.5</v>
      </c>
      <c r="P4" s="151" t="s">
        <v>30</v>
      </c>
      <c r="Q4" s="151"/>
    </row>
    <row r="5" s="118" customFormat="1" ht="32" customHeight="1" spans="1:21">
      <c r="A5" s="148"/>
      <c r="B5" s="138" t="s">
        <v>31</v>
      </c>
      <c r="C5" s="138" t="s">
        <v>18</v>
      </c>
      <c r="D5" s="138" t="s">
        <v>32</v>
      </c>
      <c r="E5" s="138" t="s">
        <v>33</v>
      </c>
      <c r="F5" s="138"/>
      <c r="G5" s="139"/>
      <c r="H5" s="149"/>
      <c r="I5" s="149"/>
      <c r="J5" s="150"/>
      <c r="K5" s="142">
        <f>IF(AND($O$3&lt;=1500,$O$4&lt;=0.5,($O$5+$O$6+$O$7)&lt;=90,$O$5&lt;=60,$O$6&lt;=60,$O$7&lt;=60),L5*25+3,"")</f>
        <v>15.5</v>
      </c>
      <c r="L5" s="143">
        <f t="shared" si="0"/>
        <v>0.5</v>
      </c>
      <c r="M5" s="144"/>
      <c r="N5" s="145"/>
      <c r="O5" s="146">
        <v>16.5</v>
      </c>
      <c r="P5" s="152" t="s">
        <v>34</v>
      </c>
      <c r="Q5" s="153"/>
    </row>
    <row r="6" s="118" customFormat="1" ht="32" customHeight="1" spans="1:21">
      <c r="A6" s="137" t="s">
        <v>35</v>
      </c>
      <c r="B6" s="138" t="s">
        <v>36</v>
      </c>
      <c r="C6" s="138" t="s">
        <v>18</v>
      </c>
      <c r="D6" s="138" t="s">
        <v>19</v>
      </c>
      <c r="E6" s="138" t="s">
        <v>37</v>
      </c>
      <c r="F6" s="138"/>
      <c r="G6" s="139"/>
      <c r="H6" s="140" t="s">
        <v>38</v>
      </c>
      <c r="I6" s="140" t="s">
        <v>24</v>
      </c>
      <c r="J6" s="141" t="s">
        <v>39</v>
      </c>
      <c r="K6" s="142" t="str">
        <f>IF(AND($O$3&lt;=1500,$O$4&gt;0.5,$O$4&lt;=30,($O$5+$O$6+$O$7)&lt;=150,$O$5&lt;=60,$O$6&lt;=60,$O$7&lt;=60),L6*33+23,"")</f>
        <v/>
      </c>
      <c r="L6" s="143">
        <f t="shared" si="0"/>
        <v>0.5</v>
      </c>
      <c r="M6" s="144"/>
      <c r="N6" s="145"/>
      <c r="O6" s="146">
        <v>10</v>
      </c>
      <c r="P6" s="152" t="s">
        <v>40</v>
      </c>
      <c r="Q6" s="153"/>
    </row>
    <row r="7" s="118" customFormat="1" ht="32" customHeight="1" spans="1:21">
      <c r="A7" s="148"/>
      <c r="B7" s="138" t="s">
        <v>41</v>
      </c>
      <c r="C7" s="138" t="s">
        <v>18</v>
      </c>
      <c r="D7" s="138" t="s">
        <v>28</v>
      </c>
      <c r="E7" s="138" t="s">
        <v>42</v>
      </c>
      <c r="F7" s="138"/>
      <c r="G7" s="139"/>
      <c r="H7" s="149"/>
      <c r="I7" s="149"/>
      <c r="J7" s="150"/>
      <c r="K7" s="142" t="str">
        <f>IF(AND($O$3&lt;=1500,$O$4&gt;0.5,$O$4&lt;=30,($O$5+$O$6+$O$7)&lt;=150,$O$5&lt;=60,$O$6&lt;=60,$O$7&lt;=60),L7*25+23,"")</f>
        <v/>
      </c>
      <c r="L7" s="143">
        <f t="shared" si="0"/>
        <v>0.5</v>
      </c>
      <c r="M7" s="144"/>
      <c r="N7" s="145"/>
      <c r="O7" s="154">
        <v>5.5</v>
      </c>
      <c r="P7" s="155" t="s">
        <v>43</v>
      </c>
      <c r="Q7" s="156"/>
    </row>
    <row r="8" s="118" customFormat="1" ht="32" customHeight="1" spans="1:21">
      <c r="A8" s="148"/>
      <c r="B8" s="138" t="s">
        <v>44</v>
      </c>
      <c r="C8" s="138" t="s">
        <v>18</v>
      </c>
      <c r="D8" s="138" t="s">
        <v>32</v>
      </c>
      <c r="E8" s="138" t="s">
        <v>45</v>
      </c>
      <c r="F8" s="138"/>
      <c r="G8" s="157"/>
      <c r="H8" s="149"/>
      <c r="I8" s="149"/>
      <c r="J8" s="150"/>
      <c r="K8" s="142" t="str">
        <f>IF(AND($O$3&lt;=1500,$O$4&gt;0.5,$O$4&lt;=30,($O$5+$O$6+$O$7)&lt;=150,$O$5&lt;=60,$O$6&lt;=60,$O$7&lt;=60),L8*17+23,"")</f>
        <v/>
      </c>
      <c r="L8" s="143">
        <f t="shared" si="0"/>
        <v>0.5</v>
      </c>
      <c r="M8" s="144"/>
      <c r="N8" s="145"/>
      <c r="O8" s="158">
        <f>O5+O6+O7</f>
        <v>32</v>
      </c>
      <c r="P8" s="155" t="s">
        <v>46</v>
      </c>
      <c r="Q8" s="156"/>
    </row>
    <row r="9" s="118" customFormat="1" ht="32" customHeight="1" spans="1:21">
      <c r="A9" s="137" t="s">
        <v>47</v>
      </c>
      <c r="B9" s="138" t="s">
        <v>48</v>
      </c>
      <c r="C9" s="138" t="s">
        <v>18</v>
      </c>
      <c r="D9" s="138" t="s">
        <v>19</v>
      </c>
      <c r="E9" s="138" t="s">
        <v>49</v>
      </c>
      <c r="F9" s="138"/>
      <c r="G9" s="138" t="s">
        <v>50</v>
      </c>
      <c r="H9" s="140" t="s">
        <v>51</v>
      </c>
      <c r="I9" s="140" t="s">
        <v>52</v>
      </c>
      <c r="J9" s="141" t="s">
        <v>39</v>
      </c>
      <c r="K9" s="142" t="str">
        <f>IF(AND($O$3&gt;1500,$O$3&lt;=7000,$O$4&lt;=2,($O$5+$O$6+$O$7)&lt;=150,$O$5&lt;=60,$O$6&lt;=60,$O$7&lt;=60),L9*45+16,"")</f>
        <v/>
      </c>
      <c r="L9" s="143">
        <f t="shared" si="0"/>
        <v>0.5</v>
      </c>
      <c r="M9" s="144"/>
      <c r="N9" s="145"/>
      <c r="O9" s="159">
        <f>$O$4/($O$5*$O$6*$O$7/1000000)</f>
        <v>550.964187327824</v>
      </c>
      <c r="P9" s="152" t="s">
        <v>53</v>
      </c>
      <c r="Q9" s="153"/>
    </row>
    <row r="10" s="118" customFormat="1" ht="32" customHeight="1" spans="1:21">
      <c r="A10" s="148"/>
      <c r="B10" s="138" t="s">
        <v>54</v>
      </c>
      <c r="C10" s="138" t="s">
        <v>18</v>
      </c>
      <c r="D10" s="138" t="s">
        <v>28</v>
      </c>
      <c r="E10" s="138" t="s">
        <v>55</v>
      </c>
      <c r="F10" s="138"/>
      <c r="G10" s="138"/>
      <c r="H10" s="149"/>
      <c r="I10" s="149"/>
      <c r="J10" s="150"/>
      <c r="K10" s="142" t="str">
        <f>IF(AND($O$3&gt;1500,$O$3&lt;=7000,$O$4&lt;=2,($O$5+$O$6+$O$7)&lt;=150,$O$5&lt;=60,$O$6&lt;=60,$O$7&lt;=60),L10*35+16,"")</f>
        <v/>
      </c>
      <c r="L10" s="143">
        <f t="shared" si="0"/>
        <v>0.5</v>
      </c>
      <c r="M10" s="144"/>
      <c r="N10" s="145"/>
      <c r="R10" s="160"/>
      <c r="S10" s="160"/>
      <c r="T10" s="161"/>
      <c r="U10" s="161"/>
    </row>
    <row r="11" s="118" customFormat="1" ht="32" customHeight="1" spans="1:21">
      <c r="A11" s="148"/>
      <c r="B11" s="138" t="s">
        <v>56</v>
      </c>
      <c r="C11" s="138" t="s">
        <v>18</v>
      </c>
      <c r="D11" s="138" t="s">
        <v>32</v>
      </c>
      <c r="E11" s="138" t="s">
        <v>57</v>
      </c>
      <c r="F11" s="138"/>
      <c r="G11" s="138"/>
      <c r="H11" s="149"/>
      <c r="I11" s="149"/>
      <c r="J11" s="150"/>
      <c r="K11" s="142" t="str">
        <f>IF(AND($O$3&gt;1500,$O$3&lt;=7000,$O$4&lt;=2,($O$5+$O$6+$O$7)&lt;=150,$O$5&lt;=60,$O$6&lt;=60,$O$7&lt;=60),L11*25+16,"")</f>
        <v/>
      </c>
      <c r="L11" s="143">
        <f t="shared" si="0"/>
        <v>0.5</v>
      </c>
      <c r="M11" s="144"/>
      <c r="N11" s="145"/>
      <c r="O11" s="162" t="s">
        <v>58</v>
      </c>
      <c r="P11" s="162"/>
      <c r="Q11" s="162"/>
      <c r="T11" s="161"/>
      <c r="U11" s="161"/>
    </row>
    <row r="12" s="118" customFormat="1" ht="32" customHeight="1" spans="1:21">
      <c r="A12" s="163" t="s">
        <v>59</v>
      </c>
      <c r="B12" s="138" t="s">
        <v>60</v>
      </c>
      <c r="C12" s="138" t="s">
        <v>18</v>
      </c>
      <c r="D12" s="138" t="s">
        <v>28</v>
      </c>
      <c r="E12" s="138" t="s">
        <v>61</v>
      </c>
      <c r="F12" s="186" t="s">
        <v>62</v>
      </c>
      <c r="G12" s="138"/>
      <c r="H12" s="149" t="s">
        <v>63</v>
      </c>
      <c r="I12" s="149" t="s">
        <v>64</v>
      </c>
      <c r="J12" s="150" t="s">
        <v>65</v>
      </c>
      <c r="K12" s="142" t="str">
        <f>IF(AND($O$3&gt;1500,$O$3&lt;=7000,$O$4&gt;2,$O$4&lt;=30,($O$5+$O$6+$O$7)&lt;=250,$O$5&lt;=150,$O$6&lt;=150,$O$7&lt;=150,L12&lt;=31),L12*25+36,"")</f>
        <v/>
      </c>
      <c r="L12" s="143">
        <f>IF(AND(M12&gt;$O$4,M12&lt;&gt;""),M12,$O$4)</f>
        <v>0.5</v>
      </c>
      <c r="M12" s="144" t="str">
        <f>IF(AND($O$3&gt;1500,$O$3&lt;=7000,$O$4&gt;2,$O$4&lt;=30,($O$5+$O$6+$O$7)&lt;=250,$O$5&lt;=150,$O$6&lt;=150,$O$7&lt;=150),$O$5*$O$6*$O$7/12000,"")</f>
        <v/>
      </c>
      <c r="N12" s="145"/>
      <c r="O12" s="162"/>
      <c r="P12" s="162"/>
      <c r="Q12" s="162"/>
      <c r="R12" s="168"/>
      <c r="S12" s="168"/>
      <c r="T12" s="161"/>
      <c r="U12" s="161"/>
    </row>
    <row r="13" s="118" customFormat="1" ht="32" customHeight="1" spans="1:21">
      <c r="A13" s="169"/>
      <c r="B13" s="138" t="s">
        <v>66</v>
      </c>
      <c r="C13" s="138" t="s">
        <v>18</v>
      </c>
      <c r="D13" s="138" t="s">
        <v>32</v>
      </c>
      <c r="E13" s="138" t="s">
        <v>67</v>
      </c>
      <c r="F13" s="186"/>
      <c r="G13" s="138"/>
      <c r="H13" s="149"/>
      <c r="I13" s="149"/>
      <c r="J13" s="150"/>
      <c r="K13" s="142" t="str">
        <f>IF(AND($O$3&gt;1500,$O$3&lt;=7000,$O$4&gt;2,$O$4&lt;=30,($O$5+$O$6+$O$7)&lt;=250,$O$5&lt;=150,$O$6&lt;=150,$O$7&lt;=150,L13&lt;=31),L13*17+36,"")</f>
        <v/>
      </c>
      <c r="L13" s="143">
        <f>IF(AND(M13&gt;$O$4,M13&lt;&gt;""),M13,$O$4)</f>
        <v>0.5</v>
      </c>
      <c r="M13" s="144" t="str">
        <f>IF(AND($O$3&gt;1500,$O$3&lt;=7000,$O$4&gt;2,$O$4&lt;=30,($O$5+$O$6+$O$7)&lt;=250,$O$5&lt;=150,$O$6&lt;=150,$O$7&lt;=150),$O$5*$O$6*$O$7/12000,"")</f>
        <v/>
      </c>
      <c r="N13" s="145"/>
      <c r="T13" s="161"/>
      <c r="U13" s="161"/>
    </row>
    <row r="14" s="118" customFormat="1" ht="32" customHeight="1" spans="1:21">
      <c r="A14" s="137" t="s">
        <v>68</v>
      </c>
      <c r="B14" s="138" t="s">
        <v>69</v>
      </c>
      <c r="C14" s="138" t="s">
        <v>18</v>
      </c>
      <c r="D14" s="138" t="s">
        <v>19</v>
      </c>
      <c r="E14" s="138" t="s">
        <v>70</v>
      </c>
      <c r="F14" s="138" t="s">
        <v>21</v>
      </c>
      <c r="G14" s="138"/>
      <c r="H14" s="140" t="s">
        <v>71</v>
      </c>
      <c r="I14" s="140" t="s">
        <v>72</v>
      </c>
      <c r="J14" s="141" t="s">
        <v>65</v>
      </c>
      <c r="K14" s="142" t="str">
        <f>IF(AND($O$3&gt;=7001,$O$3&lt;=250000,$O$4&lt;=5,($O$5+$O$6+$O$7)&lt;=250,$O$5&lt;=150,$O$6&lt;=150,$O$7&lt;=150),L14*45+22,"")</f>
        <v/>
      </c>
      <c r="L14" s="143">
        <f>$O$4</f>
        <v>0.5</v>
      </c>
      <c r="M14" s="173"/>
      <c r="N14" s="145"/>
      <c r="O14" s="172" t="s">
        <v>73</v>
      </c>
      <c r="P14" s="172"/>
      <c r="Q14" s="172"/>
      <c r="U14" s="161"/>
    </row>
    <row r="15" s="118" customFormat="1" ht="32" customHeight="1" spans="1:21">
      <c r="A15" s="148"/>
      <c r="B15" s="138" t="s">
        <v>74</v>
      </c>
      <c r="C15" s="138" t="s">
        <v>18</v>
      </c>
      <c r="D15" s="138" t="s">
        <v>28</v>
      </c>
      <c r="E15" s="138" t="s">
        <v>75</v>
      </c>
      <c r="F15" s="138"/>
      <c r="G15" s="138"/>
      <c r="H15" s="149"/>
      <c r="I15" s="149"/>
      <c r="J15" s="150"/>
      <c r="K15" s="142" t="str">
        <f>IF(AND($O$3&gt;=7001,$O$3&lt;=250000,$O$4&lt;=5,($O$5+$O$6+$O$7)&lt;=250,$O$5&lt;=150,$O$6&lt;=150,$O$7&lt;=150),L15*35+22,"")</f>
        <v/>
      </c>
      <c r="L15" s="143">
        <f>$O$4</f>
        <v>0.5</v>
      </c>
      <c r="M15" s="173"/>
      <c r="N15" s="145"/>
      <c r="O15" s="172"/>
      <c r="P15" s="172"/>
      <c r="Q15" s="172"/>
    </row>
    <row r="16" s="118" customFormat="1" ht="32" customHeight="1" spans="1:21">
      <c r="A16" s="148"/>
      <c r="B16" s="138" t="s">
        <v>76</v>
      </c>
      <c r="C16" s="138" t="s">
        <v>18</v>
      </c>
      <c r="D16" s="138" t="s">
        <v>32</v>
      </c>
      <c r="E16" s="138" t="s">
        <v>77</v>
      </c>
      <c r="F16" s="138"/>
      <c r="G16" s="138"/>
      <c r="H16" s="149"/>
      <c r="I16" s="149"/>
      <c r="J16" s="150"/>
      <c r="K16" s="142" t="str">
        <f>IF(AND($O$3&gt;=7001,$O$3&lt;=250000,$O$4&lt;=5,($O$5+$O$6+$O$7)&lt;=250,$O$5&lt;=150,$O$6&lt;=150,$O$7&lt;=150),L16*25+22,"")</f>
        <v/>
      </c>
      <c r="L16" s="143">
        <f>$O$4</f>
        <v>0.5</v>
      </c>
      <c r="M16" s="173"/>
      <c r="N16" s="145"/>
      <c r="O16" s="172"/>
      <c r="P16" s="172"/>
      <c r="Q16" s="172"/>
    </row>
    <row r="17" s="118" customFormat="1" ht="32" customHeight="1" spans="1:23">
      <c r="A17" s="163" t="s">
        <v>78</v>
      </c>
      <c r="B17" s="138" t="s">
        <v>79</v>
      </c>
      <c r="C17" s="138" t="s">
        <v>18</v>
      </c>
      <c r="D17" s="138" t="s">
        <v>28</v>
      </c>
      <c r="E17" s="138" t="s">
        <v>80</v>
      </c>
      <c r="F17" s="186" t="s">
        <v>62</v>
      </c>
      <c r="G17" s="138"/>
      <c r="H17" s="149" t="s">
        <v>81</v>
      </c>
      <c r="I17" s="149" t="s">
        <v>82</v>
      </c>
      <c r="J17" s="150" t="s">
        <v>83</v>
      </c>
      <c r="K17" s="142" t="str">
        <f>IF(AND($O$3&gt;=7001,$O$3&lt;=250000,$O$4&gt;5,$O$4&lt;=30,($O$5+$O$6+$O$7)&lt;=310,$O$5&lt;=150,$O$6&lt;=150,$O$7&lt;=150,L17&lt;=80),L17*28+62,"")</f>
        <v/>
      </c>
      <c r="L17" s="143">
        <f>IF(AND(M17&gt;$O$4,M17&lt;&gt;""),M17,$O$4)</f>
        <v>0.5</v>
      </c>
      <c r="M17" s="144" t="str">
        <f>IF(AND($O$3&gt;=7001,$O$3&lt;=250000,$O$4&gt;5,$O$4&lt;=30,($O$5+$O$6+$O$7)&lt;=310,$O$5&lt;=150,$O$6&lt;=150,$O$7&lt;=150),$O$5*$O$6*$O$7/12000,"")</f>
        <v/>
      </c>
      <c r="N17" s="145"/>
      <c r="O17" s="172"/>
      <c r="P17" s="172"/>
      <c r="Q17" s="172"/>
    </row>
    <row r="18" s="118" customFormat="1" ht="32" customHeight="1" spans="1:23">
      <c r="A18" s="169"/>
      <c r="B18" s="138" t="s">
        <v>84</v>
      </c>
      <c r="C18" s="138" t="s">
        <v>18</v>
      </c>
      <c r="D18" s="138" t="s">
        <v>32</v>
      </c>
      <c r="E18" s="138" t="s">
        <v>85</v>
      </c>
      <c r="F18" s="186"/>
      <c r="G18" s="138"/>
      <c r="H18" s="149"/>
      <c r="I18" s="149"/>
      <c r="J18" s="150"/>
      <c r="K18" s="142" t="str">
        <f>IF(AND($O$3&gt;=7001,$O$3&lt;=250000,$O$4&gt;5,$O$4&lt;=30,($O$5+$O$6+$O$7)&lt;=310,$O$5&lt;=150,$O$6&lt;=150,$O$7&lt;=150,L18&lt;=80),L18*23+62,"")</f>
        <v/>
      </c>
      <c r="L18" s="143">
        <f>IF(AND(M18&gt;$O$4,M18&lt;&gt;""),M18,$O$4)</f>
        <v>0.5</v>
      </c>
      <c r="M18" s="144" t="str">
        <f>IF(AND($O$3&gt;=7001,$O$3&lt;=250000,$O$4&gt;5,$O$4&lt;=30,($O$5+$O$6+$O$7)&lt;=310,$O$5&lt;=150,$O$6&lt;=150,$O$7&lt;=150),$O$5*$O$6*$O$7/12000,"")</f>
        <v/>
      </c>
      <c r="N18" s="145"/>
      <c r="O18" s="172"/>
      <c r="P18" s="172"/>
      <c r="Q18" s="172"/>
    </row>
    <row r="19" s="118" customFormat="1" ht="73" customHeight="1" spans="1:23">
      <c r="A19" s="148" t="s">
        <v>86</v>
      </c>
      <c r="B19" s="138" t="s">
        <v>87</v>
      </c>
      <c r="C19" s="138" t="s">
        <v>18</v>
      </c>
      <c r="D19" s="187" t="s">
        <v>88</v>
      </c>
      <c r="E19" s="138" t="s">
        <v>89</v>
      </c>
      <c r="F19" s="186" t="s">
        <v>90</v>
      </c>
      <c r="G19" s="188" t="s">
        <v>91</v>
      </c>
      <c r="H19" s="149" t="s">
        <v>92</v>
      </c>
      <c r="I19" s="149" t="s">
        <v>93</v>
      </c>
      <c r="J19" s="150" t="s">
        <v>94</v>
      </c>
      <c r="K19" s="142">
        <f>IF(AND($O$3&lt;=500000,$O$4&lt;=25,($O$5+$O$6+$O$7)&lt;=310,$O$5&lt;=150,$O$6&lt;=150,$O$7&lt;=150),ROUNDUP(L19,1)*96+19,"")</f>
        <v>67</v>
      </c>
      <c r="L19" s="143">
        <f>ROUNDUP(IF(AND(M19&gt;$O$4,M19&lt;&gt;""),M19,$O$4),1)</f>
        <v>0.5</v>
      </c>
      <c r="M19" s="144" t="str">
        <f>IF($O$8&gt;60,ROUNDUP($O$5*$O$6*$O$7/6000,1),"")</f>
        <v/>
      </c>
      <c r="N19" s="145"/>
    </row>
    <row r="20" s="119" customFormat="1" ht="20" customHeight="1" spans="1:23">
      <c r="A20" s="174" t="s">
        <v>95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6"/>
      <c r="L20" s="177"/>
      <c r="M20" s="178"/>
      <c r="N20" s="179"/>
      <c r="O20" s="118"/>
      <c r="P20" s="118"/>
      <c r="Q20" s="118"/>
      <c r="R20" s="118"/>
      <c r="S20" s="118"/>
    </row>
    <row r="21" s="119" customFormat="1" ht="20" customHeight="1" spans="1:23">
      <c r="A21" s="174" t="s">
        <v>96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6"/>
      <c r="L21" s="177"/>
      <c r="M21" s="178"/>
      <c r="N21" s="179"/>
    </row>
    <row r="22" s="119" customFormat="1" ht="20" customHeight="1" spans="1:23">
      <c r="A22" s="180" t="s">
        <v>97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2"/>
      <c r="L22" s="183"/>
      <c r="M22" s="184"/>
      <c r="N22" s="179"/>
    </row>
    <row r="23" s="119" customFormat="1" ht="20" customHeight="1" spans="1:23">
      <c r="A23" s="180" t="s">
        <v>98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2"/>
      <c r="L23" s="183"/>
      <c r="M23" s="184"/>
      <c r="N23" s="179"/>
    </row>
    <row r="24" s="119" customFormat="1" ht="20" customHeight="1" spans="1:23">
      <c r="A24" s="180" t="s">
        <v>99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2"/>
      <c r="L24" s="183"/>
      <c r="M24" s="184"/>
      <c r="N24" s="185"/>
    </row>
    <row r="25" s="119" customFormat="1" ht="20" customHeight="1" spans="1:23">
      <c r="A25" s="180" t="s">
        <v>100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2"/>
      <c r="L25" s="183"/>
      <c r="M25" s="184"/>
      <c r="N25" s="179"/>
    </row>
    <row r="26" ht="14.25" spans="1:23">
      <c r="R26" s="119"/>
      <c r="S26" s="119"/>
      <c r="T26" s="118"/>
      <c r="U26" s="118"/>
      <c r="V26" s="118"/>
      <c r="W26" s="118"/>
    </row>
    <row r="27" ht="14.25" spans="1:23">
      <c r="R27" s="118"/>
      <c r="S27" s="118"/>
      <c r="T27" s="118"/>
      <c r="U27" s="118"/>
      <c r="V27" s="118"/>
      <c r="W27" s="118"/>
    </row>
    <row r="28" ht="14.25" spans="1:23">
      <c r="R28" s="118"/>
      <c r="S28" s="118"/>
      <c r="T28" s="118"/>
      <c r="U28" s="118"/>
      <c r="V28" s="118"/>
      <c r="W28" s="118"/>
    </row>
    <row r="29" ht="14.25" spans="1:23">
      <c r="P29" s="118"/>
      <c r="Q29" s="118"/>
      <c r="T29" s="118"/>
      <c r="U29" s="118"/>
      <c r="V29" s="118"/>
      <c r="W29" s="118"/>
    </row>
    <row r="30" ht="14.25" spans="1:23">
      <c r="U30" s="118"/>
    </row>
  </sheetData>
  <sheetProtection algorithmName="SHA-512" hashValue="jw2zpMcKZPXbuIgiyjW/Sx6KFGPeMWloDMmWBqXorXsnxVxSlNpKfstS8lP1LeLtwYviy2bq4PqzRiL85L+SNQ==" saltValue="C7iCgAGiodIJXuD8lRptOQ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0:M20"/>
    <mergeCell ref="A21:M21"/>
    <mergeCell ref="A22:M22"/>
    <mergeCell ref="A23:M23"/>
    <mergeCell ref="A24:M24"/>
    <mergeCell ref="A25:M25"/>
    <mergeCell ref="A3:A5"/>
    <mergeCell ref="A6:A8"/>
    <mergeCell ref="A9:A11"/>
    <mergeCell ref="A12:A13"/>
    <mergeCell ref="A14:A16"/>
    <mergeCell ref="A17:A18"/>
    <mergeCell ref="F3:F11"/>
    <mergeCell ref="F12:F13"/>
    <mergeCell ref="F14:F16"/>
    <mergeCell ref="F17:F18"/>
    <mergeCell ref="G3:G8"/>
    <mergeCell ref="G9:G18"/>
    <mergeCell ref="H3:H5"/>
    <mergeCell ref="H6:H8"/>
    <mergeCell ref="H9:H11"/>
    <mergeCell ref="H12:H13"/>
    <mergeCell ref="H14:H16"/>
    <mergeCell ref="H17:H18"/>
    <mergeCell ref="I3:I5"/>
    <mergeCell ref="I6:I8"/>
    <mergeCell ref="I9:I11"/>
    <mergeCell ref="I12:I13"/>
    <mergeCell ref="I14:I16"/>
    <mergeCell ref="I17:I18"/>
    <mergeCell ref="J3:J5"/>
    <mergeCell ref="J6:J8"/>
    <mergeCell ref="J9:J11"/>
    <mergeCell ref="J12:J13"/>
    <mergeCell ref="J14:J16"/>
    <mergeCell ref="J17:J18"/>
    <mergeCell ref="O11:Q12"/>
    <mergeCell ref="O14:Q18"/>
  </mergeCells>
  <conditionalFormatting sqref="K3:K19">
    <cfRule type="notContainsBlanks" dxfId="0" priority="2">
      <formula>LEN(TRIM(K3))&gt;0</formula>
    </cfRule>
  </conditionalFormatting>
  <conditionalFormatting sqref="K2:L2 K3:M19 K26:M1048576">
    <cfRule type="top10" priority="4" bottom="1" rank="2"/>
  </conditionalFormatting>
  <pageMargins left="0.7" right="0.7" top="0.75" bottom="0.75" header="0.3" footer="0.3"/>
  <pageSetup paperSize="9" orientation="portrait"/>
  <headerFooter/>
  <ignoredErrors>
    <ignoredError sqref="O8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showGridLines="0" topLeftCell="V1" workbookViewId="0">
      <pane ySplit="2" topLeftCell="A12" activePane="bottomLeft" state="frozen"/>
      <selection/>
      <selection pane="bottomLeft" activeCell="O4" sqref="$A1:$XFD1048576"/>
    </sheetView>
  </sheetViews>
  <sheetFormatPr defaultColWidth="9" defaultRowHeight="12"/>
  <cols>
    <col min="1" max="1" width="18.6666666666667" style="120" customWidth="1"/>
    <col min="2" max="2" width="31.775" style="121" customWidth="1"/>
    <col min="3" max="3" width="13.3333333333333" style="122" customWidth="1"/>
    <col min="4" max="4" width="10.6666666666667" style="122" customWidth="1"/>
    <col min="5" max="6" width="21.3333333333333" style="122" customWidth="1"/>
    <col min="7" max="7" width="9.63333333333333" style="122" customWidth="1"/>
    <col min="8" max="8" width="14.8916666666667" style="122" customWidth="1"/>
    <col min="9" max="9" width="15.5583333333333" style="122" customWidth="1"/>
    <col min="10" max="10" width="15.775" style="122" customWidth="1"/>
    <col min="11" max="11" width="11.975" style="123" customWidth="1"/>
    <col min="12" max="12" width="9.75" style="124" customWidth="1"/>
    <col min="13" max="13" width="9.74166666666667" style="125" customWidth="1"/>
    <col min="14" max="14" width="1.89166666666667" style="126" customWidth="1"/>
    <col min="15" max="15" width="10.6666666666667" style="127"/>
    <col min="16" max="16" width="9" style="127"/>
    <col min="17" max="17" width="10" style="127" customWidth="1"/>
    <col min="18" max="16384" width="9" style="127"/>
  </cols>
  <sheetData>
    <row r="1" ht="40" customHeight="1" spans="1:23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L1" s="130"/>
      <c r="M1" s="131"/>
    </row>
    <row r="2" s="117" customFormat="1" ht="59" customHeight="1" spans="1:23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3" t="s">
        <v>11</v>
      </c>
      <c r="L2" s="134" t="s">
        <v>12</v>
      </c>
      <c r="M2" s="132" t="s">
        <v>13</v>
      </c>
      <c r="N2" s="135"/>
      <c r="O2" s="136" t="s">
        <v>14</v>
      </c>
      <c r="P2" s="136" t="s">
        <v>15</v>
      </c>
      <c r="Q2" s="136"/>
    </row>
    <row r="3" s="118" customFormat="1" ht="32" customHeight="1" spans="1:23">
      <c r="A3" s="137" t="s">
        <v>16</v>
      </c>
      <c r="B3" s="138" t="s">
        <v>17</v>
      </c>
      <c r="C3" s="138" t="s">
        <v>18</v>
      </c>
      <c r="D3" s="138" t="s">
        <v>101</v>
      </c>
      <c r="E3" s="138" t="s">
        <v>20</v>
      </c>
      <c r="F3" s="138" t="s">
        <v>21</v>
      </c>
      <c r="G3" s="139" t="s">
        <v>22</v>
      </c>
      <c r="H3" s="140" t="s">
        <v>23</v>
      </c>
      <c r="I3" s="140" t="s">
        <v>24</v>
      </c>
      <c r="J3" s="141" t="s">
        <v>25</v>
      </c>
      <c r="K3" s="142" t="str">
        <f>IF(AND($O$3&lt;=1500,$O$4&lt;=0.5,($O$5+$O$6+$O$7)&lt;=90,$O$5&lt;=60,$O$6&lt;=60,$O$7&lt;=60),L3*45+3,"")</f>
        <v/>
      </c>
      <c r="L3" s="143">
        <f t="shared" ref="L3:L14" si="0">$O$4</f>
        <v>1.55</v>
      </c>
      <c r="M3" s="144"/>
      <c r="N3" s="145"/>
      <c r="O3" s="146">
        <v>5200</v>
      </c>
      <c r="P3" s="147" t="s">
        <v>26</v>
      </c>
      <c r="Q3" s="147"/>
    </row>
    <row r="4" s="118" customFormat="1" ht="32" customHeight="1" spans="1:23">
      <c r="A4" s="148"/>
      <c r="B4" s="138" t="s">
        <v>27</v>
      </c>
      <c r="C4" s="138" t="s">
        <v>18</v>
      </c>
      <c r="D4" s="138" t="s">
        <v>102</v>
      </c>
      <c r="E4" s="138" t="s">
        <v>29</v>
      </c>
      <c r="F4" s="138"/>
      <c r="G4" s="139"/>
      <c r="H4" s="149"/>
      <c r="I4" s="149"/>
      <c r="J4" s="150"/>
      <c r="K4" s="142" t="str">
        <f>IF(AND($O$3&lt;=1500,$O$4&lt;=0.5,($O$5+$O$6+$O$7)&lt;=90,$O$5&lt;=60,$O$6&lt;=60,$O$7&lt;=60),L4*35+3,"")</f>
        <v/>
      </c>
      <c r="L4" s="143">
        <f t="shared" si="0"/>
        <v>1.55</v>
      </c>
      <c r="M4" s="144"/>
      <c r="N4" s="145"/>
      <c r="O4" s="146">
        <v>1.55</v>
      </c>
      <c r="P4" s="151" t="s">
        <v>30</v>
      </c>
      <c r="Q4" s="151"/>
    </row>
    <row r="5" s="118" customFormat="1" ht="32" customHeight="1" spans="1:23">
      <c r="A5" s="148"/>
      <c r="B5" s="138" t="s">
        <v>31</v>
      </c>
      <c r="C5" s="138" t="s">
        <v>18</v>
      </c>
      <c r="D5" s="138" t="s">
        <v>103</v>
      </c>
      <c r="E5" s="138" t="s">
        <v>33</v>
      </c>
      <c r="F5" s="138"/>
      <c r="G5" s="139"/>
      <c r="H5" s="149"/>
      <c r="I5" s="149"/>
      <c r="J5" s="150"/>
      <c r="K5" s="142" t="str">
        <f>IF(AND($O$3&lt;=1500,$O$4&lt;=0.5,($O$5+$O$6+$O$7)&lt;=90,$O$5&lt;=60,$O$6&lt;=60,$O$7&lt;=60),L5*25+3,"")</f>
        <v/>
      </c>
      <c r="L5" s="143">
        <f t="shared" si="0"/>
        <v>1.55</v>
      </c>
      <c r="M5" s="144"/>
      <c r="N5" s="145"/>
      <c r="O5" s="146">
        <v>52</v>
      </c>
      <c r="P5" s="152" t="s">
        <v>34</v>
      </c>
      <c r="Q5" s="153"/>
    </row>
    <row r="6" s="118" customFormat="1" ht="32" customHeight="1" spans="1:23">
      <c r="A6" s="137" t="s">
        <v>35</v>
      </c>
      <c r="B6" s="138" t="s">
        <v>36</v>
      </c>
      <c r="C6" s="138" t="s">
        <v>18</v>
      </c>
      <c r="D6" s="138" t="s">
        <v>101</v>
      </c>
      <c r="E6" s="138" t="s">
        <v>37</v>
      </c>
      <c r="F6" s="138"/>
      <c r="G6" s="139"/>
      <c r="H6" s="140" t="s">
        <v>38</v>
      </c>
      <c r="I6" s="140" t="s">
        <v>24</v>
      </c>
      <c r="J6" s="141" t="s">
        <v>39</v>
      </c>
      <c r="K6" s="142" t="str">
        <f>IF(AND($O$3&lt;=1500,$O$4&gt;0.5,$O$4&lt;=30,($O$5+$O$6+$O$7)&lt;=150,$O$5&lt;=60,$O$6&lt;=60,$O$7&lt;=60),L6*33+23,"")</f>
        <v/>
      </c>
      <c r="L6" s="143">
        <f t="shared" si="0"/>
        <v>1.55</v>
      </c>
      <c r="M6" s="144"/>
      <c r="N6" s="145"/>
      <c r="O6" s="146">
        <v>45</v>
      </c>
      <c r="P6" s="152" t="s">
        <v>40</v>
      </c>
      <c r="Q6" s="153"/>
    </row>
    <row r="7" s="118" customFormat="1" ht="32" customHeight="1" spans="1:23">
      <c r="A7" s="148"/>
      <c r="B7" s="138" t="s">
        <v>41</v>
      </c>
      <c r="C7" s="138" t="s">
        <v>18</v>
      </c>
      <c r="D7" s="138" t="s">
        <v>102</v>
      </c>
      <c r="E7" s="138" t="s">
        <v>42</v>
      </c>
      <c r="F7" s="138"/>
      <c r="G7" s="139"/>
      <c r="H7" s="149"/>
      <c r="I7" s="149"/>
      <c r="J7" s="150"/>
      <c r="K7" s="142" t="str">
        <f>IF(AND($O$3&lt;=1500,$O$4&gt;0.5,$O$4&lt;=30,($O$5+$O$6+$O$7)&lt;=150,$O$5&lt;=60,$O$6&lt;=60,$O$7&lt;=60),L7*25+23,"")</f>
        <v/>
      </c>
      <c r="L7" s="143">
        <f t="shared" si="0"/>
        <v>1.55</v>
      </c>
      <c r="M7" s="144"/>
      <c r="N7" s="145"/>
      <c r="O7" s="154">
        <v>28</v>
      </c>
      <c r="P7" s="155" t="s">
        <v>43</v>
      </c>
      <c r="Q7" s="156"/>
    </row>
    <row r="8" s="118" customFormat="1" ht="32" customHeight="1" spans="1:23">
      <c r="A8" s="148"/>
      <c r="B8" s="138" t="s">
        <v>44</v>
      </c>
      <c r="C8" s="138" t="s">
        <v>18</v>
      </c>
      <c r="D8" s="138" t="s">
        <v>103</v>
      </c>
      <c r="E8" s="138" t="s">
        <v>45</v>
      </c>
      <c r="F8" s="138"/>
      <c r="G8" s="157"/>
      <c r="H8" s="149"/>
      <c r="I8" s="149"/>
      <c r="J8" s="150"/>
      <c r="K8" s="142" t="str">
        <f>IF(AND($O$3&lt;=1500,$O$4&gt;0.5,$O$4&lt;=30,($O$5+$O$6+$O$7)&lt;=150,$O$5&lt;=60,$O$6&lt;=60,$O$7&lt;=60),L8*17+23,"")</f>
        <v/>
      </c>
      <c r="L8" s="143">
        <f t="shared" si="0"/>
        <v>1.55</v>
      </c>
      <c r="M8" s="144"/>
      <c r="N8" s="145"/>
      <c r="O8" s="158">
        <f>O5+O6+O7</f>
        <v>125</v>
      </c>
      <c r="P8" s="155" t="s">
        <v>46</v>
      </c>
      <c r="Q8" s="156"/>
    </row>
    <row r="9" s="118" customFormat="1" ht="32" customHeight="1" spans="1:23">
      <c r="A9" s="137" t="s">
        <v>47</v>
      </c>
      <c r="B9" s="138" t="s">
        <v>48</v>
      </c>
      <c r="C9" s="138" t="s">
        <v>18</v>
      </c>
      <c r="D9" s="138" t="s">
        <v>101</v>
      </c>
      <c r="E9" s="138" t="s">
        <v>49</v>
      </c>
      <c r="F9" s="138"/>
      <c r="G9" s="138" t="s">
        <v>50</v>
      </c>
      <c r="H9" s="140" t="s">
        <v>51</v>
      </c>
      <c r="I9" s="140" t="s">
        <v>52</v>
      </c>
      <c r="J9" s="141" t="s">
        <v>39</v>
      </c>
      <c r="K9" s="142">
        <f>IF(AND($O$3&gt;1500,$O$3&lt;=7000,$O$4&lt;=2,($O$5+$O$6+$O$7)&lt;=150,$O$5&lt;=60,$O$6&lt;=60,$O$7&lt;=60),L9*45+16,"")</f>
        <v>85.75</v>
      </c>
      <c r="L9" s="143">
        <f t="shared" si="0"/>
        <v>1.55</v>
      </c>
      <c r="M9" s="144"/>
      <c r="N9" s="145"/>
      <c r="O9" s="159">
        <f>$O$4/($O$5*$O$6*$O$7/1000000)</f>
        <v>23.6568986568987</v>
      </c>
      <c r="P9" s="152" t="s">
        <v>53</v>
      </c>
      <c r="Q9" s="153"/>
    </row>
    <row r="10" s="118" customFormat="1" ht="32" customHeight="1" spans="1:23">
      <c r="A10" s="148"/>
      <c r="B10" s="138" t="s">
        <v>54</v>
      </c>
      <c r="C10" s="138" t="s">
        <v>18</v>
      </c>
      <c r="D10" s="138" t="s">
        <v>102</v>
      </c>
      <c r="E10" s="138" t="s">
        <v>55</v>
      </c>
      <c r="F10" s="138"/>
      <c r="G10" s="138"/>
      <c r="H10" s="149"/>
      <c r="I10" s="149"/>
      <c r="J10" s="150"/>
      <c r="K10" s="142">
        <f>IF(AND($O$3&gt;1500,$O$3&lt;=7000,$O$4&lt;=2,($O$5+$O$6+$O$7)&lt;=150,$O$5&lt;=60,$O$6&lt;=60,$O$7&lt;=60),L10*35+16,"")</f>
        <v>70.25</v>
      </c>
      <c r="L10" s="143">
        <f t="shared" si="0"/>
        <v>1.55</v>
      </c>
      <c r="M10" s="144"/>
      <c r="N10" s="145"/>
      <c r="R10" s="160"/>
      <c r="S10" s="160"/>
      <c r="T10" s="161"/>
      <c r="U10" s="161"/>
    </row>
    <row r="11" s="118" customFormat="1" ht="32" customHeight="1" spans="1:23">
      <c r="A11" s="148"/>
      <c r="B11" s="138" t="s">
        <v>56</v>
      </c>
      <c r="C11" s="138" t="s">
        <v>18</v>
      </c>
      <c r="D11" s="138" t="s">
        <v>103</v>
      </c>
      <c r="E11" s="138" t="s">
        <v>57</v>
      </c>
      <c r="F11" s="138"/>
      <c r="G11" s="138"/>
      <c r="H11" s="149"/>
      <c r="I11" s="149"/>
      <c r="J11" s="150"/>
      <c r="K11" s="142">
        <f>IF(AND($O$3&gt;1500,$O$3&lt;=7000,$O$4&lt;=2,($O$5+$O$6+$O$7)&lt;=150,$O$5&lt;=60,$O$6&lt;=60,$O$7&lt;=60),L11*25+16,"")</f>
        <v>54.75</v>
      </c>
      <c r="L11" s="143">
        <f t="shared" si="0"/>
        <v>1.55</v>
      </c>
      <c r="M11" s="144"/>
      <c r="N11" s="145"/>
      <c r="O11" s="162" t="s">
        <v>58</v>
      </c>
      <c r="P11" s="162"/>
      <c r="Q11" s="162"/>
      <c r="T11" s="161"/>
      <c r="U11" s="161"/>
    </row>
    <row r="12" s="118" customFormat="1" ht="32" customHeight="1" spans="1:23">
      <c r="A12" s="163" t="s">
        <v>59</v>
      </c>
      <c r="B12" s="138" t="s">
        <v>104</v>
      </c>
      <c r="C12" s="138" t="s">
        <v>18</v>
      </c>
      <c r="D12" s="138" t="s">
        <v>101</v>
      </c>
      <c r="E12" s="164" t="s">
        <v>105</v>
      </c>
      <c r="F12" s="165" t="s">
        <v>62</v>
      </c>
      <c r="G12" s="138"/>
      <c r="H12" s="166" t="s">
        <v>63</v>
      </c>
      <c r="I12" s="166" t="s">
        <v>64</v>
      </c>
      <c r="J12" s="167" t="s">
        <v>65</v>
      </c>
      <c r="K12" s="142" t="str">
        <f>IF(AND($O$3&gt;1500,$O$3&lt;=7000,$O$4&gt;2,$O$4&lt;=30,($O$5+$O$6+$O$7)&lt;=250,$O$5&lt;=150,$O$6&lt;=150,$O$7&lt;=150,L12&lt;=31),L12*33+36,"")</f>
        <v/>
      </c>
      <c r="L12" s="143">
        <f>IF(AND(M12&gt;$O$4,M12&lt;&gt;""),M12,$O$4)</f>
        <v>1.55</v>
      </c>
      <c r="M12" s="144" t="str">
        <f>IF(AND($O$3&gt;1500,$O$3&lt;=7000,$O$4&gt;2,$O$4&lt;=30,($O$5+$O$6+$O$7)&lt;=250,$O$5&lt;=150,$O$6&lt;=150,$O$7&lt;=150),$O$5*$O$6*$O$7/12000,"")</f>
        <v/>
      </c>
      <c r="N12" s="145"/>
      <c r="O12" s="162"/>
      <c r="P12" s="162"/>
      <c r="Q12" s="162"/>
      <c r="R12" s="168"/>
      <c r="S12" s="168"/>
      <c r="T12" s="161"/>
      <c r="U12" s="161"/>
      <c r="V12" s="127"/>
      <c r="W12" s="127"/>
    </row>
    <row r="13" s="118" customFormat="1" ht="32" customHeight="1" spans="1:23">
      <c r="A13" s="169"/>
      <c r="B13" s="138" t="s">
        <v>60</v>
      </c>
      <c r="C13" s="138" t="s">
        <v>18</v>
      </c>
      <c r="D13" s="138" t="s">
        <v>102</v>
      </c>
      <c r="E13" s="138" t="s">
        <v>61</v>
      </c>
      <c r="F13" s="139"/>
      <c r="G13" s="138"/>
      <c r="H13" s="170"/>
      <c r="I13" s="170"/>
      <c r="J13" s="171"/>
      <c r="K13" s="142" t="str">
        <f>IF(AND($O$3&gt;1500,$O$3&lt;=7000,$O$4&gt;2,$O$4&lt;=30,($O$5+$O$6+$O$7)&lt;=250,$O$5&lt;=150,$O$6&lt;=150,$O$7&lt;=150,L13&lt;=31),L13*25+36,"")</f>
        <v/>
      </c>
      <c r="L13" s="143">
        <f>IF(AND(M13&gt;$O$4,M13&lt;&gt;""),M13,$O$4)</f>
        <v>1.55</v>
      </c>
      <c r="M13" s="144" t="str">
        <f>IF(AND($O$3&gt;1500,$O$3&lt;=7000,$O$4&gt;2,$O$4&lt;=30,($O$5+$O$6+$O$7)&lt;=250,$O$5&lt;=150,$O$6&lt;=150,$O$7&lt;=150),$O$5*$O$6*$O$7/12000,"")</f>
        <v/>
      </c>
      <c r="N13" s="145"/>
      <c r="R13" s="168"/>
      <c r="S13" s="168"/>
      <c r="T13" s="161"/>
      <c r="U13" s="161"/>
    </row>
    <row r="14" s="118" customFormat="1" ht="32" customHeight="1" spans="1:23">
      <c r="A14" s="169"/>
      <c r="B14" s="138" t="s">
        <v>66</v>
      </c>
      <c r="C14" s="138" t="s">
        <v>18</v>
      </c>
      <c r="D14" s="138" t="s">
        <v>103</v>
      </c>
      <c r="E14" s="138" t="s">
        <v>67</v>
      </c>
      <c r="F14" s="139"/>
      <c r="G14" s="138"/>
      <c r="H14" s="170"/>
      <c r="I14" s="170"/>
      <c r="J14" s="171"/>
      <c r="K14" s="142" t="str">
        <f>IF(AND($O$3&gt;1500,$O$3&lt;=7000,$O$4&gt;2,$O$4&lt;=30,($O$5+$O$6+$O$7)&lt;=250,$O$5&lt;=150,$O$6&lt;=150,$O$7&lt;=150,L14&lt;=31),L14*17+36,"")</f>
        <v/>
      </c>
      <c r="L14" s="143">
        <f>IF(AND(M14&gt;$O$4,M14&lt;&gt;""),M14,$O$4)</f>
        <v>1.55</v>
      </c>
      <c r="M14" s="144" t="str">
        <f>IF(AND($O$3&gt;1500,$O$3&lt;=7000,$O$4&gt;2,$O$4&lt;=30,($O$5+$O$6+$O$7)&lt;=250,$O$5&lt;=150,$O$6&lt;=150,$O$7&lt;=150),$O$5*$O$6*$O$7/12000,"")</f>
        <v/>
      </c>
      <c r="N14" s="145"/>
      <c r="O14" s="172" t="s">
        <v>73</v>
      </c>
      <c r="P14" s="172"/>
      <c r="Q14" s="172"/>
      <c r="T14" s="161"/>
      <c r="U14" s="161"/>
    </row>
    <row r="15" s="118" customFormat="1" ht="32" customHeight="1" spans="1:23">
      <c r="A15" s="137" t="s">
        <v>68</v>
      </c>
      <c r="B15" s="138" t="s">
        <v>69</v>
      </c>
      <c r="C15" s="138" t="s">
        <v>18</v>
      </c>
      <c r="D15" s="138" t="s">
        <v>101</v>
      </c>
      <c r="E15" s="138" t="s">
        <v>70</v>
      </c>
      <c r="F15" s="138" t="s">
        <v>21</v>
      </c>
      <c r="G15" s="138"/>
      <c r="H15" s="140" t="s">
        <v>71</v>
      </c>
      <c r="I15" s="140" t="s">
        <v>72</v>
      </c>
      <c r="J15" s="141" t="s">
        <v>65</v>
      </c>
      <c r="K15" s="142" t="str">
        <f>IF(AND($O$3&gt;=7001,$O$3&lt;=250000,$O$4&lt;=5,($O$5+$O$6+$O$7)&lt;=250,$O$5&lt;=150,$O$6&lt;=150,$O$7&lt;=150),L15*45+22,"")</f>
        <v/>
      </c>
      <c r="L15" s="143">
        <f>$O$4</f>
        <v>1.55</v>
      </c>
      <c r="M15" s="173"/>
      <c r="N15" s="145"/>
      <c r="O15" s="172"/>
      <c r="P15" s="172"/>
      <c r="Q15" s="172"/>
      <c r="U15" s="161"/>
    </row>
    <row r="16" s="118" customFormat="1" ht="32" customHeight="1" spans="1:23">
      <c r="A16" s="148"/>
      <c r="B16" s="138" t="s">
        <v>74</v>
      </c>
      <c r="C16" s="138" t="s">
        <v>18</v>
      </c>
      <c r="D16" s="138" t="s">
        <v>102</v>
      </c>
      <c r="E16" s="138" t="s">
        <v>75</v>
      </c>
      <c r="F16" s="138"/>
      <c r="G16" s="138"/>
      <c r="H16" s="149"/>
      <c r="I16" s="149"/>
      <c r="J16" s="150"/>
      <c r="K16" s="142" t="str">
        <f>IF(AND($O$3&gt;=7001,$O$3&lt;=250000,$O$4&lt;=5,($O$5+$O$6+$O$7)&lt;=250,$O$5&lt;=150,$O$6&lt;=150,$O$7&lt;=150),L16*35+22,"")</f>
        <v/>
      </c>
      <c r="L16" s="143">
        <f>$O$4</f>
        <v>1.55</v>
      </c>
      <c r="M16" s="173"/>
      <c r="N16" s="145"/>
      <c r="O16" s="172"/>
      <c r="P16" s="172"/>
      <c r="Q16" s="172"/>
    </row>
    <row r="17" s="118" customFormat="1" ht="32" customHeight="1" spans="1:23">
      <c r="A17" s="148"/>
      <c r="B17" s="138" t="s">
        <v>76</v>
      </c>
      <c r="C17" s="138" t="s">
        <v>18</v>
      </c>
      <c r="D17" s="138" t="s">
        <v>103</v>
      </c>
      <c r="E17" s="138" t="s">
        <v>77</v>
      </c>
      <c r="F17" s="138"/>
      <c r="G17" s="138"/>
      <c r="H17" s="149"/>
      <c r="I17" s="149"/>
      <c r="J17" s="150"/>
      <c r="K17" s="142" t="str">
        <f>IF(AND($O$3&gt;=7001,$O$3&lt;=250000,$O$4&lt;=5,($O$5+$O$6+$O$7)&lt;=250,$O$5&lt;=150,$O$6&lt;=150,$O$7&lt;=150),L17*25+22,"")</f>
        <v/>
      </c>
      <c r="L17" s="143">
        <f>$O$4</f>
        <v>1.55</v>
      </c>
      <c r="M17" s="173"/>
      <c r="N17" s="145"/>
      <c r="O17" s="168"/>
      <c r="P17" s="168"/>
      <c r="Q17" s="168"/>
    </row>
    <row r="18" s="118" customFormat="1" ht="32" customHeight="1" spans="1:23">
      <c r="A18" s="163" t="s">
        <v>78</v>
      </c>
      <c r="B18" s="138" t="s">
        <v>106</v>
      </c>
      <c r="C18" s="138" t="s">
        <v>18</v>
      </c>
      <c r="D18" s="138" t="s">
        <v>101</v>
      </c>
      <c r="E18" s="164" t="s">
        <v>107</v>
      </c>
      <c r="F18" s="165" t="s">
        <v>62</v>
      </c>
      <c r="G18" s="138"/>
      <c r="H18" s="166" t="s">
        <v>81</v>
      </c>
      <c r="I18" s="166" t="s">
        <v>82</v>
      </c>
      <c r="J18" s="167" t="s">
        <v>83</v>
      </c>
      <c r="K18" s="142" t="str">
        <f>IF(AND($O$3&gt;=7001,$O$3&lt;=250000,$O$4&gt;5,$O$4&lt;=30,($O$5+$O$6+$O$7)&lt;=310,$O$5&lt;=150,$O$6&lt;=150,$O$7&lt;=150,L18&lt;=80),L18*33+62,"")</f>
        <v/>
      </c>
      <c r="L18" s="143">
        <f>IF(AND(M18&gt;$O$4,M18&lt;&gt;""),M18,$O$4)</f>
        <v>1.55</v>
      </c>
      <c r="M18" s="144" t="str">
        <f>IF(AND($O$3&gt;=7001,$O$3&lt;=250000,$O$4&gt;5,$O$4&lt;=30,($O$5+$O$6+$O$7)&lt;=310,$O$5&lt;=150,$O$6&lt;=150,$O$7&lt;=150),$O$5*$O$6*$O$7/12000,"")</f>
        <v/>
      </c>
      <c r="N18" s="145"/>
      <c r="O18" s="168"/>
      <c r="P18" s="168"/>
      <c r="Q18" s="168"/>
    </row>
    <row r="19" s="118" customFormat="1" ht="32" customHeight="1" spans="1:23">
      <c r="A19" s="169"/>
      <c r="B19" s="138" t="s">
        <v>79</v>
      </c>
      <c r="C19" s="138" t="s">
        <v>18</v>
      </c>
      <c r="D19" s="138" t="s">
        <v>102</v>
      </c>
      <c r="E19" s="138" t="s">
        <v>80</v>
      </c>
      <c r="F19" s="139"/>
      <c r="G19" s="138"/>
      <c r="H19" s="170"/>
      <c r="I19" s="170"/>
      <c r="J19" s="171"/>
      <c r="K19" s="142" t="str">
        <f>IF(AND($O$3&gt;=7001,$O$3&lt;=250000,$O$4&gt;5,$O$4&lt;=30,($O$5+$O$6+$O$7)&lt;=310,$O$5&lt;=150,$O$6&lt;=150,$O$7&lt;=150,L19&lt;=80),L19*28+62,"")</f>
        <v/>
      </c>
      <c r="L19" s="143">
        <f>IF(AND(M19&gt;$O$4,M19&lt;&gt;""),M19,$O$4)</f>
        <v>1.55</v>
      </c>
      <c r="M19" s="144" t="str">
        <f>IF(AND($O$3&gt;=7001,$O$3&lt;=250000,$O$4&gt;5,$O$4&lt;=30,($O$5+$O$6+$O$7)&lt;=310,$O$5&lt;=150,$O$6&lt;=150,$O$7&lt;=150),$O$5*$O$6*$O$7/12000,"")</f>
        <v/>
      </c>
      <c r="N19" s="145"/>
      <c r="O19" s="168"/>
      <c r="P19" s="168"/>
      <c r="Q19" s="168"/>
    </row>
    <row r="20" s="118" customFormat="1" ht="32" customHeight="1" spans="1:23">
      <c r="A20" s="169"/>
      <c r="B20" s="138" t="s">
        <v>84</v>
      </c>
      <c r="C20" s="138" t="s">
        <v>18</v>
      </c>
      <c r="D20" s="138" t="s">
        <v>103</v>
      </c>
      <c r="E20" s="138" t="s">
        <v>85</v>
      </c>
      <c r="F20" s="139"/>
      <c r="G20" s="138"/>
      <c r="H20" s="170"/>
      <c r="I20" s="170"/>
      <c r="J20" s="171"/>
      <c r="K20" s="142" t="str">
        <f>IF(AND($O$3&gt;=7001,$O$3&lt;=250000,$O$4&gt;5,$O$4&lt;=30,($O$5+$O$6+$O$7)&lt;=310,$O$5&lt;=150,$O$6&lt;=150,$O$7&lt;=150,L20&lt;=80),L20*23+62,"")</f>
        <v/>
      </c>
      <c r="L20" s="143">
        <f>IF(AND(M20&gt;$O$4,M20&lt;&gt;""),M20,$O$4)</f>
        <v>1.55</v>
      </c>
      <c r="M20" s="144" t="str">
        <f>IF(AND($O$3&gt;=7001,$O$3&lt;=250000,$O$4&gt;5,$O$4&lt;=30,($O$5+$O$6+$O$7)&lt;=310,$O$5&lt;=150,$O$6&lt;=150,$O$7&lt;=150),$O$5*$O$6*$O$7/12000,"")</f>
        <v/>
      </c>
      <c r="N20" s="145"/>
    </row>
    <row r="21" s="119" customFormat="1" ht="20" customHeight="1" spans="1:23">
      <c r="A21" s="174" t="s">
        <v>95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6"/>
      <c r="L21" s="177"/>
      <c r="M21" s="178"/>
      <c r="N21" s="179"/>
      <c r="O21" s="118"/>
      <c r="P21" s="118"/>
      <c r="Q21" s="118"/>
      <c r="R21" s="118"/>
      <c r="S21" s="118"/>
    </row>
    <row r="22" s="119" customFormat="1" ht="20" customHeight="1" spans="1:23">
      <c r="A22" s="174" t="s">
        <v>96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6"/>
      <c r="L22" s="177"/>
      <c r="M22" s="178"/>
      <c r="N22" s="179"/>
    </row>
    <row r="23" s="119" customFormat="1" ht="20" customHeight="1" spans="1:23">
      <c r="A23" s="180" t="s">
        <v>97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2"/>
      <c r="L23" s="183"/>
      <c r="M23" s="184"/>
      <c r="N23" s="179"/>
    </row>
    <row r="24" s="119" customFormat="1" ht="20" customHeight="1" spans="1:23">
      <c r="A24" s="180" t="s">
        <v>98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2"/>
      <c r="L24" s="183"/>
      <c r="M24" s="184"/>
      <c r="N24" s="179"/>
    </row>
    <row r="25" s="119" customFormat="1" ht="20" customHeight="1" spans="1:23">
      <c r="A25" s="180" t="s">
        <v>99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2"/>
      <c r="L25" s="183"/>
      <c r="M25" s="184"/>
      <c r="N25" s="185"/>
    </row>
    <row r="26" s="119" customFormat="1" ht="20" customHeight="1" spans="1:23">
      <c r="A26" s="180" t="s">
        <v>100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2"/>
      <c r="L26" s="183"/>
      <c r="M26" s="184"/>
      <c r="N26" s="179"/>
    </row>
    <row r="27" ht="14.25" spans="1:23">
      <c r="O27" s="119"/>
      <c r="P27" s="119"/>
      <c r="Q27" s="119"/>
      <c r="R27" s="119"/>
      <c r="S27" s="119"/>
      <c r="T27" s="118"/>
      <c r="U27" s="118"/>
      <c r="V27" s="118"/>
      <c r="W27" s="118"/>
    </row>
    <row r="28" ht="14.25" spans="1:23">
      <c r="R28" s="118"/>
      <c r="S28" s="118"/>
      <c r="T28" s="118"/>
      <c r="U28" s="118"/>
      <c r="V28" s="118"/>
      <c r="W28" s="118"/>
    </row>
    <row r="29" ht="14.25" spans="1:23">
      <c r="R29" s="118"/>
      <c r="S29" s="118"/>
      <c r="T29" s="118"/>
      <c r="U29" s="118"/>
      <c r="V29" s="118"/>
      <c r="W29" s="118"/>
    </row>
    <row r="30" ht="14.25" spans="1:23">
      <c r="T30" s="118"/>
      <c r="U30" s="118"/>
      <c r="V30" s="118"/>
      <c r="W30" s="118"/>
    </row>
    <row r="31" ht="14.25" spans="1:23">
      <c r="U31" s="118"/>
    </row>
  </sheetData>
  <sheetProtection algorithmName="SHA-512" hashValue="OH5aUsI0+gngoF2FEeynZsaLoM/jFq0DruG0Ck6pfCVqkCByUODfbGKeetlxaeQcRh5qVJrVV/EoGDd8AyZU3Q==" saltValue="gofbBP8eRr54VUx9ellmPA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1:M21"/>
    <mergeCell ref="A22:M22"/>
    <mergeCell ref="A23:M23"/>
    <mergeCell ref="A24:M24"/>
    <mergeCell ref="A25:M25"/>
    <mergeCell ref="A26:M26"/>
    <mergeCell ref="A3:A5"/>
    <mergeCell ref="A6:A8"/>
    <mergeCell ref="A9:A11"/>
    <mergeCell ref="A12:A14"/>
    <mergeCell ref="A15:A17"/>
    <mergeCell ref="A18:A20"/>
    <mergeCell ref="F3:F11"/>
    <mergeCell ref="F12:F14"/>
    <mergeCell ref="F15:F17"/>
    <mergeCell ref="F18:F20"/>
    <mergeCell ref="G3:G8"/>
    <mergeCell ref="G9:G20"/>
    <mergeCell ref="H3:H5"/>
    <mergeCell ref="H6:H8"/>
    <mergeCell ref="H9:H11"/>
    <mergeCell ref="H12:H14"/>
    <mergeCell ref="H15:H17"/>
    <mergeCell ref="H18:H20"/>
    <mergeCell ref="I3:I5"/>
    <mergeCell ref="I6:I8"/>
    <mergeCell ref="I9:I11"/>
    <mergeCell ref="I12:I14"/>
    <mergeCell ref="I15:I17"/>
    <mergeCell ref="I18:I20"/>
    <mergeCell ref="J3:J5"/>
    <mergeCell ref="J6:J8"/>
    <mergeCell ref="J9:J11"/>
    <mergeCell ref="J12:J14"/>
    <mergeCell ref="J15:J17"/>
    <mergeCell ref="J18:J20"/>
    <mergeCell ref="O11:Q12"/>
    <mergeCell ref="O14:Q16"/>
  </mergeCells>
  <conditionalFormatting sqref="K3:K20">
    <cfRule type="notContainsBlanks" dxfId="0" priority="1">
      <formula>LEN(TRIM(K3))&gt;0</formula>
    </cfRule>
  </conditionalFormatting>
  <conditionalFormatting sqref="K2:L2 K3:M20 K27:M1048576">
    <cfRule type="top10" priority="2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90" zoomScaleNormal="90" topLeftCell="A3" workbookViewId="0">
      <selection activeCell="O4" sqref="$A1:$XFD1048576"/>
    </sheetView>
  </sheetViews>
  <sheetFormatPr defaultColWidth="8.89166666666667" defaultRowHeight="12"/>
  <cols>
    <col min="1" max="1" width="40.625" style="109" customWidth="1"/>
    <col min="2" max="2" width="17.9666666666667" style="109" customWidth="1"/>
    <col min="3" max="3" width="21.475" style="110" customWidth="1"/>
    <col min="4" max="4" width="18.4083333333333" style="109" customWidth="1"/>
    <col min="5" max="5" width="28" style="109" customWidth="1"/>
    <col min="6" max="6" width="14.8666666666667" style="109" customWidth="1"/>
    <col min="7" max="7" width="12.975" style="109" customWidth="1"/>
    <col min="8" max="9" width="15.8083333333333" style="111" customWidth="1"/>
    <col min="10" max="10" width="15.575" style="112" customWidth="1"/>
    <col min="11" max="11" width="13.45" style="109" customWidth="1"/>
    <col min="12" max="12" width="10.85" style="110" customWidth="1"/>
    <col min="13" max="16384" width="8.89166666666667" style="109"/>
  </cols>
  <sheetData>
    <row r="1" s="109" customFormat="1" ht="28.65" customHeight="1" spans="1:14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113"/>
      <c r="N1" s="113"/>
    </row>
    <row r="2" s="109" customFormat="1" ht="21" customHeight="1" spans="1:14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  <c r="M2" s="113"/>
      <c r="N2" s="113"/>
    </row>
    <row r="3" s="109" customFormat="1" ht="21" customHeight="1" spans="1:14">
      <c r="A3" s="80" t="s">
        <v>118</v>
      </c>
      <c r="B3" s="81" t="s">
        <v>119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3">
        <f>L$5</f>
        <v>0.1</v>
      </c>
      <c r="J3" s="85">
        <f>IF(AND(L$5&gt;0,L$5&lt;=0.5,L$21&lt;=90,L$9&lt;=60,L$13&lt;=60,L$17&lt;=60,L$3&gt;0,L$3&lt;=1500),I3*35+3,"")</f>
        <v>6.5</v>
      </c>
      <c r="K3" s="81" t="s">
        <v>125</v>
      </c>
      <c r="L3" s="86">
        <v>1500</v>
      </c>
      <c r="M3" s="113"/>
      <c r="N3" s="113"/>
    </row>
    <row r="4" s="109" customFormat="1" ht="21" customHeight="1" spans="1:14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4:I26" si="0">L$5</f>
        <v>0.1</v>
      </c>
      <c r="J4" s="90">
        <f>IF(AND(L$5&gt;0,L$5&lt;=0.5,L$21&lt;=90,L$9&lt;=60,L$13&lt;=60,L$17&lt;=60,L$3&gt;0,L$3&lt;=1500),I4*25+3,"")</f>
        <v>5.5</v>
      </c>
      <c r="K4" s="88"/>
      <c r="L4" s="91"/>
      <c r="M4" s="114"/>
      <c r="N4" s="114"/>
    </row>
    <row r="5" s="109" customFormat="1" ht="21" customHeight="1" spans="1:14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IF(AND(L$5&gt;0.5,L$5&lt;=35,L$21&lt;=150,L$9&lt;=60,L$13&lt;=60,L$17&lt;=60,L$3&gt;0,L$3&lt;=1500),I5*25+23,"")</f>
        <v/>
      </c>
      <c r="K5" s="88" t="s">
        <v>132</v>
      </c>
      <c r="L5" s="91">
        <v>0.1</v>
      </c>
    </row>
    <row r="6" s="109" customFormat="1" ht="21" customHeight="1" spans="1:14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IF(AND(L$5&gt;0.5,L$5&lt;=35,L$21&lt;=150,L$9&lt;=60,L$13&lt;=60,L$17&lt;=60,L$3&gt;0,L$3&lt;=1500),I6*17+23,"")</f>
        <v/>
      </c>
      <c r="K6" s="88"/>
      <c r="L6" s="91"/>
    </row>
    <row r="7" s="109" customFormat="1" ht="21" customHeight="1" spans="1:14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IF(AND(L$5&gt;0,L$5&lt;=2,L$21&lt;=150,L$17&lt;=60,L$13&lt;=60,L$9&lt;=60,L$3&gt;1500,L$3&lt;=7000),I7*35+16,"")</f>
        <v/>
      </c>
      <c r="K7" s="88"/>
      <c r="L7" s="91"/>
    </row>
    <row r="8" s="109" customFormat="1" ht="21" customHeight="1" spans="1:14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IF(AND(L$5&gt;0,L$5&lt;=2,L$21&lt;=150,L$17&lt;=60,L$13&lt;=60,L$9&lt;=60,L$3&gt;1500,L$3&lt;=7000),I8*25+16,"")</f>
        <v/>
      </c>
      <c r="K8" s="88"/>
      <c r="L8" s="91"/>
    </row>
    <row r="9" s="109" customFormat="1" ht="21" customHeight="1" spans="1:14">
      <c r="A9" s="87" t="s">
        <v>142</v>
      </c>
      <c r="B9" s="88"/>
      <c r="C9" s="89" t="s">
        <v>143</v>
      </c>
      <c r="D9" s="88" t="s">
        <v>144</v>
      </c>
      <c r="E9" s="88" t="s">
        <v>145</v>
      </c>
      <c r="F9" s="88"/>
      <c r="G9" s="88"/>
      <c r="H9" s="84" t="str">
        <f>IF(AND(L$5&gt;2,L$5&lt;=35,L$21&lt;=250,L$9&lt;=150,L$13&lt;=150,L$17&lt;=150,L$3&gt;1501,L$3&lt;=7000),L$9*L$13*L$17/12000,"")</f>
        <v/>
      </c>
      <c r="I9" s="84">
        <f>IF(AND(H$9&gt;L$5,H9&lt;&gt;""),H$9,L$5)</f>
        <v>0.1</v>
      </c>
      <c r="J9" s="90" t="str">
        <f>IF(AND(L$5&gt;2,L$5&lt;=35,L$21&lt;=250,L$9&lt;=150,L$13&lt;=150,L$17&lt;=150,L$3&gt;1500,L$3&lt;=7000),I9*25+36,"")</f>
        <v/>
      </c>
      <c r="K9" s="88" t="s">
        <v>146</v>
      </c>
      <c r="L9" s="91">
        <v>10</v>
      </c>
    </row>
    <row r="10" s="109" customFormat="1" ht="21" customHeight="1" spans="1:14">
      <c r="A10" s="87" t="s">
        <v>147</v>
      </c>
      <c r="B10" s="88"/>
      <c r="C10" s="89" t="s">
        <v>148</v>
      </c>
      <c r="D10" s="88"/>
      <c r="E10" s="88"/>
      <c r="F10" s="88"/>
      <c r="G10" s="88"/>
      <c r="H10" s="84" t="str">
        <f>IF(AND(L$5&gt;2,L$5&lt;=35,L$21&lt;=250,L$9&lt;=150,L$13&lt;=150,L$17&lt;=150,L$3&gt;1501,L$3&lt;=7000),L$9*L$13*L$17/12000,"")</f>
        <v/>
      </c>
      <c r="I10" s="84">
        <f>IF(AND(H$10&gt;L$5,H10&lt;&gt;""),H$10,L$5)</f>
        <v>0.1</v>
      </c>
      <c r="J10" s="90" t="str">
        <f>IF(AND(L$5&gt;2,L$5&lt;=35,L$21&lt;=250,L$9&lt;=150,L$13&lt;=150,L$17&lt;=150,L$3&gt;1500,L$3&lt;=7000),I10*17+36,"")</f>
        <v/>
      </c>
      <c r="K10" s="88"/>
      <c r="L10" s="91"/>
    </row>
    <row r="11" s="109" customFormat="1" ht="21" customHeight="1" spans="1:14">
      <c r="A11" s="87" t="s">
        <v>149</v>
      </c>
      <c r="B11" s="88"/>
      <c r="C11" s="89" t="s">
        <v>150</v>
      </c>
      <c r="D11" s="88" t="s">
        <v>151</v>
      </c>
      <c r="E11" s="88"/>
      <c r="F11" s="88" t="s">
        <v>152</v>
      </c>
      <c r="G11" s="88"/>
      <c r="H11" s="84"/>
      <c r="I11" s="84">
        <f t="shared" si="0"/>
        <v>0.1</v>
      </c>
      <c r="J11" s="90" t="str">
        <f>IF(AND(L$5&gt;0,L$5&lt;=5,L$21&lt;=250,L$9&lt;=150,L$13&lt;=150,L$17&lt;=150,L$3&gt;7001,L$3&lt;=18000),I11*35+22,"")</f>
        <v/>
      </c>
      <c r="K11" s="88"/>
      <c r="L11" s="91"/>
    </row>
    <row r="12" s="109" customFormat="1" ht="21" customHeight="1" spans="1:14">
      <c r="A12" s="87" t="s">
        <v>153</v>
      </c>
      <c r="B12" s="88"/>
      <c r="C12" s="89" t="s">
        <v>154</v>
      </c>
      <c r="D12" s="88"/>
      <c r="E12" s="88"/>
      <c r="F12" s="88"/>
      <c r="G12" s="88"/>
      <c r="H12" s="84"/>
      <c r="I12" s="84">
        <f t="shared" si="0"/>
        <v>0.1</v>
      </c>
      <c r="J12" s="90" t="str">
        <f>IF(AND(L$5&gt;0,L$5&lt;=5,L$21&lt;=250,L$9&lt;=150,L$13&lt;=150,L$17&lt;=150,L$3&gt;7001,L$3&lt;=18000),I12*25+22,"")</f>
        <v/>
      </c>
      <c r="K12" s="88"/>
      <c r="L12" s="91"/>
    </row>
    <row r="13" s="109" customFormat="1" ht="21" customHeight="1" spans="1:14">
      <c r="A13" s="87" t="s">
        <v>155</v>
      </c>
      <c r="B13" s="88"/>
      <c r="C13" s="89" t="s">
        <v>156</v>
      </c>
      <c r="D13" s="88" t="s">
        <v>157</v>
      </c>
      <c r="E13" s="88" t="s">
        <v>158</v>
      </c>
      <c r="F13" s="88"/>
      <c r="G13" s="88"/>
      <c r="H13" s="84" t="str">
        <f>IF(AND(L$5&gt;5,L$5&lt;=35,L$21&lt;=310,L$9&lt;=150,L$13&lt;=150,L$17&lt;=150,L$3&gt;7000,L$3&lt;=18000),L$9*L$13*L$17/12000,"")</f>
        <v/>
      </c>
      <c r="I13" s="84">
        <f>IF(AND(H$13&gt;L$5,H13&lt;&gt;""),H$13,L$5)</f>
        <v>0.1</v>
      </c>
      <c r="J13" s="90" t="str">
        <f>IF(AND(L$5&gt;5,L$5&lt;=35,L$21&lt;=310,L$9&lt;=150,L$13&lt;=150,L$17&lt;=150,L$3&gt;7000,L$3&lt;=18000,I13&lt;=80),I13*28+62,"")</f>
        <v/>
      </c>
      <c r="K13" s="88" t="s">
        <v>159</v>
      </c>
      <c r="L13" s="91">
        <v>10</v>
      </c>
    </row>
    <row r="14" s="109" customFormat="1" ht="21" customHeight="1" spans="1:14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IF(AND(L$5&gt;5,L$5&lt;=35,L$21&lt;=310,L$9&lt;=150,L$13&lt;=150,L$17&lt;=150,L$3&gt;7000,L$3&lt;=18000),L$9*L$13*L$17/12000,"")</f>
        <v/>
      </c>
      <c r="I14" s="84">
        <f>IF(AND(H$14&gt;L$5,H14&lt;&gt;""),H$14,L$5)</f>
        <v>0.1</v>
      </c>
      <c r="J14" s="90" t="str">
        <f>IF(AND(L$5&gt;5,L$5&lt;=35,L$21&lt;=310,L$9&lt;=150,L$13&lt;=150,L$17&lt;=150,L$3&gt;7000,L$3&lt;=18000,I14&lt;=80),I14*23+62,"")</f>
        <v/>
      </c>
      <c r="K14" s="88"/>
      <c r="L14" s="91"/>
    </row>
    <row r="15" s="109" customFormat="1" ht="21" customHeight="1" spans="1:14">
      <c r="A15" s="87" t="s">
        <v>162</v>
      </c>
      <c r="B15" s="88" t="s">
        <v>163</v>
      </c>
      <c r="C15" s="89" t="s">
        <v>120</v>
      </c>
      <c r="D15" s="88" t="s">
        <v>121</v>
      </c>
      <c r="E15" s="88" t="s">
        <v>122</v>
      </c>
      <c r="F15" s="88" t="s">
        <v>123</v>
      </c>
      <c r="G15" s="88" t="s">
        <v>124</v>
      </c>
      <c r="H15" s="84"/>
      <c r="I15" s="84">
        <f t="shared" si="0"/>
        <v>0.1</v>
      </c>
      <c r="J15" s="90">
        <f>IF(AND(L$5&gt;0,L$5&lt;=0.5,L$21&lt;=90,L$9&lt;=60,L$13&lt;=60,L$17&lt;=60,L$3&gt;0,L$3&lt;=1500),I15*35+3,"")</f>
        <v>6.5</v>
      </c>
      <c r="K15" s="88"/>
      <c r="L15" s="91"/>
    </row>
    <row r="16" s="109" customFormat="1" ht="21" customHeight="1" spans="1:14">
      <c r="A16" s="87" t="s">
        <v>164</v>
      </c>
      <c r="B16" s="88"/>
      <c r="C16" s="89" t="s">
        <v>127</v>
      </c>
      <c r="D16" s="88"/>
      <c r="E16" s="88"/>
      <c r="F16" s="88"/>
      <c r="G16" s="88"/>
      <c r="H16" s="84"/>
      <c r="I16" s="84">
        <f t="shared" si="0"/>
        <v>0.1</v>
      </c>
      <c r="J16" s="90">
        <f>IF(AND(L$5&gt;0,L$5&lt;=0.5,L$21&lt;=90,L$9&lt;=60,L$13&lt;=60,L$17&lt;=60,L$3&gt;0,L$3&lt;=1500),I16*25+3,"")</f>
        <v>5.5</v>
      </c>
      <c r="K16" s="88"/>
      <c r="L16" s="91"/>
    </row>
    <row r="17" s="109" customFormat="1" ht="21" customHeight="1" spans="1:12">
      <c r="A17" s="87" t="s">
        <v>165</v>
      </c>
      <c r="B17" s="88"/>
      <c r="C17" s="89" t="s">
        <v>129</v>
      </c>
      <c r="D17" s="88" t="s">
        <v>130</v>
      </c>
      <c r="E17" s="88" t="s">
        <v>131</v>
      </c>
      <c r="F17" s="88"/>
      <c r="G17" s="88"/>
      <c r="H17" s="84"/>
      <c r="I17" s="84">
        <f t="shared" si="0"/>
        <v>0.1</v>
      </c>
      <c r="J17" s="90" t="str">
        <f>IF(AND(L$5&gt;0.5,L$5&lt;=35,L$21&lt;=150,L$9&lt;=60,L$13&lt;=60,L$17&lt;=60,L$3&gt;0,L$3&lt;=1500),I17*25+23,"")</f>
        <v/>
      </c>
      <c r="K17" s="88" t="s">
        <v>166</v>
      </c>
      <c r="L17" s="91">
        <v>10</v>
      </c>
    </row>
    <row r="18" s="109" customFormat="1" ht="21" customHeight="1" spans="1:12">
      <c r="A18" s="87" t="s">
        <v>167</v>
      </c>
      <c r="B18" s="88"/>
      <c r="C18" s="89" t="s">
        <v>134</v>
      </c>
      <c r="D18" s="88"/>
      <c r="E18" s="88"/>
      <c r="F18" s="88"/>
      <c r="G18" s="88"/>
      <c r="H18" s="84"/>
      <c r="I18" s="84">
        <f t="shared" si="0"/>
        <v>0.1</v>
      </c>
      <c r="J18" s="90" t="str">
        <f>IF(AND(L$5&gt;0.5,L$5&lt;=35,L$21&lt;=150,L$9&lt;=60,L$13&lt;=60,L$17&lt;=60,L$3&gt;0,L$3&lt;=1500),I18*17+23,"")</f>
        <v/>
      </c>
      <c r="K18" s="88"/>
      <c r="L18" s="91"/>
    </row>
    <row r="19" s="109" customFormat="1" ht="21" customHeight="1" spans="1:12">
      <c r="A19" s="87" t="s">
        <v>168</v>
      </c>
      <c r="B19" s="88"/>
      <c r="C19" s="89" t="s">
        <v>136</v>
      </c>
      <c r="D19" s="88" t="s">
        <v>137</v>
      </c>
      <c r="E19" s="88"/>
      <c r="F19" s="88" t="s">
        <v>138</v>
      </c>
      <c r="G19" s="88" t="s">
        <v>139</v>
      </c>
      <c r="H19" s="84"/>
      <c r="I19" s="84">
        <f t="shared" si="0"/>
        <v>0.1</v>
      </c>
      <c r="J19" s="90" t="str">
        <f>IF(AND(L$5&gt;0,L$5&lt;=2,L$21&lt;=150,L$9&lt;=60,L$13&lt;=60,L$17&lt;=60,L$3&gt;1500,L$3&lt;=7000),I19*35+16,"")</f>
        <v/>
      </c>
      <c r="K19" s="88"/>
      <c r="L19" s="91"/>
    </row>
    <row r="20" s="109" customFormat="1" ht="21" customHeight="1" spans="1:12">
      <c r="A20" s="87" t="s">
        <v>169</v>
      </c>
      <c r="B20" s="88"/>
      <c r="C20" s="89" t="s">
        <v>141</v>
      </c>
      <c r="D20" s="88"/>
      <c r="E20" s="88"/>
      <c r="F20" s="88"/>
      <c r="G20" s="88"/>
      <c r="H20" s="84"/>
      <c r="I20" s="84">
        <f t="shared" si="0"/>
        <v>0.1</v>
      </c>
      <c r="J20" s="90" t="str">
        <f>IF(AND(L$5&gt;0,L$5&lt;=2,L$21&lt;=150,L$9&lt;=60,L$13&lt;=60,L$17&lt;=60,L$3&gt;1500,L$3&lt;=7000),I20*25+16,"")</f>
        <v/>
      </c>
      <c r="K20" s="88"/>
      <c r="L20" s="91"/>
    </row>
    <row r="21" ht="21" customHeight="1" spans="1:12">
      <c r="A21" s="87" t="s">
        <v>170</v>
      </c>
      <c r="B21" s="88"/>
      <c r="C21" s="89" t="s">
        <v>143</v>
      </c>
      <c r="D21" s="88" t="s">
        <v>144</v>
      </c>
      <c r="E21" s="88" t="s">
        <v>145</v>
      </c>
      <c r="F21" s="88"/>
      <c r="G21" s="88"/>
      <c r="H21" s="84" t="str">
        <f>IF(AND(L$5&gt;2,L$5&lt;=35,L$21&lt;=250,L$9&lt;=150,L$13&lt;=150,L$17&lt;=150,L$3&gt;1500,L$3&lt;=7000),L$9*L$13*L$17/12000,"")</f>
        <v/>
      </c>
      <c r="I21" s="84">
        <f>IF(AND(H$21&gt;L$5,H21&lt;&gt;""),H$21,L$5)</f>
        <v>0.1</v>
      </c>
      <c r="J21" s="90" t="str">
        <f>IF(AND(L$5&gt;2,L$5&lt;=35,L$21&lt;=250,L$9&lt;=150,L$13&lt;=150,L$17&lt;=150,L$3&gt;1500,L$3&lt;=7000),I21*25+36,"")</f>
        <v/>
      </c>
      <c r="K21" s="88" t="s">
        <v>171</v>
      </c>
      <c r="L21" s="100">
        <f>L9+L13+L17</f>
        <v>30</v>
      </c>
    </row>
    <row r="22" ht="21" customHeight="1" spans="1:12">
      <c r="A22" s="87" t="s">
        <v>172</v>
      </c>
      <c r="B22" s="88"/>
      <c r="C22" s="89" t="s">
        <v>148</v>
      </c>
      <c r="D22" s="88"/>
      <c r="E22" s="88"/>
      <c r="F22" s="88"/>
      <c r="G22" s="88"/>
      <c r="H22" s="84" t="str">
        <f>IF(AND(L$5&gt;2,L$5&lt;=35,L$21&lt;=250,L$9&lt;=150,L$13&lt;=150,L$17&lt;=150,L$3&gt;1500,L$3&lt;=7000),L$9*L$13*L$17/12000,"")</f>
        <v/>
      </c>
      <c r="I22" s="84">
        <f>IF(AND(H$22&gt;L$5,H22&lt;&gt;""),H$22,L$5)</f>
        <v>0.1</v>
      </c>
      <c r="J22" s="90" t="str">
        <f>IF(AND(L$5&gt;2,L$5&lt;=35,L$21&lt;=250,L$9&lt;=150,L$13&lt;=150,L$17&lt;=150,L$3&gt;1500,L$3&lt;=7000),I22*17+36,"")</f>
        <v/>
      </c>
      <c r="K22" s="88"/>
      <c r="L22" s="100"/>
    </row>
    <row r="23" ht="21" customHeight="1" spans="1:12">
      <c r="A23" s="87" t="s">
        <v>173</v>
      </c>
      <c r="B23" s="88"/>
      <c r="C23" s="89" t="s">
        <v>150</v>
      </c>
      <c r="D23" s="88" t="s">
        <v>151</v>
      </c>
      <c r="E23" s="88"/>
      <c r="F23" s="88" t="s">
        <v>152</v>
      </c>
      <c r="G23" s="88"/>
      <c r="H23" s="84"/>
      <c r="I23" s="84">
        <f t="shared" si="0"/>
        <v>0.1</v>
      </c>
      <c r="J23" s="90" t="str">
        <f>IF(AND(L$5&gt;0,L$5&lt;=5,L$21&lt;=250,L$9&lt;=150,L$13&lt;=150,L$17&lt;=150,L$3&gt;7001,L$3&lt;=18000),I23*35+22,"")</f>
        <v/>
      </c>
      <c r="K23" s="88"/>
      <c r="L23" s="100"/>
    </row>
    <row r="24" ht="21" customHeight="1" spans="1:12">
      <c r="A24" s="87" t="s">
        <v>174</v>
      </c>
      <c r="B24" s="88"/>
      <c r="C24" s="89" t="s">
        <v>154</v>
      </c>
      <c r="D24" s="88"/>
      <c r="E24" s="88"/>
      <c r="F24" s="88"/>
      <c r="G24" s="88"/>
      <c r="H24" s="84"/>
      <c r="I24" s="84">
        <f t="shared" si="0"/>
        <v>0.1</v>
      </c>
      <c r="J24" s="90" t="str">
        <f>IF(AND(L$5&gt;0,L$5&lt;=5,L$21&lt;=250,L$9&lt;=150,L$13&lt;=150,L$17&lt;=150,L$3&gt;7001,L$3&lt;=18000),I24*25+22,"")</f>
        <v/>
      </c>
      <c r="K24" s="88"/>
      <c r="L24" s="100"/>
    </row>
    <row r="25" ht="21" customHeight="1" spans="1:12">
      <c r="A25" s="87" t="s">
        <v>175</v>
      </c>
      <c r="B25" s="88"/>
      <c r="C25" s="89" t="s">
        <v>156</v>
      </c>
      <c r="D25" s="88" t="s">
        <v>157</v>
      </c>
      <c r="E25" s="88" t="s">
        <v>158</v>
      </c>
      <c r="F25" s="88"/>
      <c r="G25" s="88"/>
      <c r="H25" s="84" t="str">
        <f>IF(AND(L$5&gt;5,L$5&lt;=35,L$21&lt;=310,L$9&lt;=150,L$13&lt;=150,L$17&lt;=150,L$3&gt;7000,L$3&lt;=18000),L$9*L$13*L$17/12000,"")</f>
        <v/>
      </c>
      <c r="I25" s="84">
        <f>IF(AND(H$25&gt;L$5,H25&lt;&gt;""),H$25,L$5)</f>
        <v>0.1</v>
      </c>
      <c r="J25" s="90" t="str">
        <f>IF(AND(L$5&gt;5,L$5&lt;=35,L$21&lt;=310,L$9&lt;=150,L$13&lt;=150,L$17&lt;=150,L$3&gt;7000,L$3&lt;=18000,I25&lt;=80),I25*28+62,"")</f>
        <v/>
      </c>
      <c r="K25" s="88" t="s">
        <v>176</v>
      </c>
      <c r="L25" s="101">
        <f>L$5/(L9*L13*L17/1000000)</f>
        <v>100</v>
      </c>
    </row>
    <row r="26" ht="21" customHeight="1" spans="1:12">
      <c r="A26" s="87" t="s">
        <v>177</v>
      </c>
      <c r="B26" s="88"/>
      <c r="C26" s="89" t="s">
        <v>161</v>
      </c>
      <c r="D26" s="88"/>
      <c r="E26" s="88"/>
      <c r="F26" s="88"/>
      <c r="G26" s="88"/>
      <c r="H26" s="84" t="str">
        <f>IF(AND(L$5&gt;5,L$5&lt;=35,L$21&lt;=310,L$9&lt;=150,L$13&lt;=150,L$17&lt;=150,L$3&gt;7000,L$3&lt;=18000),L$9*L$13*L$17/12000,"")</f>
        <v/>
      </c>
      <c r="I26" s="84">
        <f>IF(AND(H$26&gt;L$5,H26&lt;&gt;""),H$26,L$5)</f>
        <v>0.1</v>
      </c>
      <c r="J26" s="90" t="str">
        <f>IF(AND(L$5&gt;5,L$5&lt;=35,L$21&lt;=310,L$9&lt;=150,L$13&lt;=150,L$17&lt;=150,L$3&gt;7000,L$3&lt;=18000,I26&lt;=80),I26*23+62,"")</f>
        <v/>
      </c>
      <c r="K26" s="88"/>
      <c r="L26" s="101"/>
    </row>
    <row r="27" ht="21" customHeight="1" spans="1:12">
      <c r="A27" s="102" t="s">
        <v>178</v>
      </c>
      <c r="B27" s="103"/>
      <c r="C27" s="104"/>
      <c r="D27" s="103"/>
      <c r="E27" s="103"/>
      <c r="F27" s="103"/>
      <c r="G27" s="103"/>
      <c r="H27" s="105"/>
      <c r="I27" s="105"/>
      <c r="J27" s="106"/>
      <c r="K27" s="103"/>
      <c r="L27" s="115"/>
    </row>
    <row r="31" spans="1:12">
      <c r="E31" s="116"/>
    </row>
  </sheetData>
  <sheetProtection algorithmName="SHA-512" hashValue="hsDdfC0x7dXRYiNIjgyr2R0W7gY2PSL2dCc3zkNsw1wd5pRSqT/V0OPZ1i31/n00zypISK6gcqmKUIgf8bM/zw==" saltValue="4tfp5vEVTNAU6Q/IkufaTg==" spinCount="100000" sheet="1" formatCells="0" formatColumns="0" formatRows="0" insertRows="0" insertColumns="0" insertHyperlinks="0" deleteColumns="0" deleteRows="0" sort="0" autoFilter="0" pivotTables="0" objects="1"/>
  <protectedRanges>
    <protectedRange sqref="L9:L11" name="区域1"/>
    <protectedRange sqref="L9:L11" name="区域1_1"/>
    <protectedRange sqref="L9:L11" name="区域1_1_1"/>
    <protectedRange sqref="L9:L11" name="区域1_2"/>
    <protectedRange sqref="L9:L11" name="区域1_1_1_1"/>
    <protectedRange sqref="L9:L11" name="区域1_3"/>
    <protectedRange sqref="L9:L11" name="区域1_1_2"/>
    <protectedRange sqref="L9:L11" name="区域1_4"/>
    <protectedRange sqref="L9:L11" name="区域1_1_3"/>
    <protectedRange sqref="L9:L11" name="区域1_5"/>
    <protectedRange sqref="L9:L11" name="区域1_1_4"/>
    <protectedRange sqref="L9:L11" name="区域1_6"/>
    <protectedRange sqref="L9:L11" name="区域1_1_5"/>
    <protectedRange sqref="L9:L11" name="区域1_7"/>
    <protectedRange sqref="L9:L11" name="区域1_1_6"/>
  </protectedRanges>
  <mergeCells count="50">
    <mergeCell ref="A1:L1"/>
    <mergeCell ref="K2:L2"/>
    <mergeCell ref="A27:J27"/>
    <mergeCell ref="B3:B14"/>
    <mergeCell ref="B15:B2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E3:E4"/>
    <mergeCell ref="E5:E8"/>
    <mergeCell ref="E9:E12"/>
    <mergeCell ref="E13:E14"/>
    <mergeCell ref="E15:E16"/>
    <mergeCell ref="E17:E20"/>
    <mergeCell ref="E21:E24"/>
    <mergeCell ref="E25:E26"/>
    <mergeCell ref="F3:F6"/>
    <mergeCell ref="F7:F10"/>
    <mergeCell ref="F11:F14"/>
    <mergeCell ref="F15:F18"/>
    <mergeCell ref="F19:F22"/>
    <mergeCell ref="F23:F26"/>
    <mergeCell ref="G3:G6"/>
    <mergeCell ref="G7:G14"/>
    <mergeCell ref="G15:G18"/>
    <mergeCell ref="G19:G26"/>
    <mergeCell ref="K3:K4"/>
    <mergeCell ref="K5:K8"/>
    <mergeCell ref="K9:K12"/>
    <mergeCell ref="K13:K16"/>
    <mergeCell ref="K17:K20"/>
    <mergeCell ref="K21:K24"/>
    <mergeCell ref="K25:K27"/>
    <mergeCell ref="L3:L4"/>
    <mergeCell ref="L5:L8"/>
    <mergeCell ref="L9:L12"/>
    <mergeCell ref="L13:L16"/>
    <mergeCell ref="L17:L20"/>
    <mergeCell ref="L21:L24"/>
    <mergeCell ref="L25:L27"/>
    <mergeCell ref="M1:N3"/>
  </mergeCells>
  <pageMargins left="0.75" right="0.75" top="1" bottom="1" header="0.5" footer="0.5"/>
  <headerFooter/>
  <ignoredErrors>
    <ignoredError sqref="H2:L2 A2:F2 A3 C7:F7 A7 K7:L7 H7 K13 K17 K9 E9:G9 C9 B19:F19 K19:L19 H19 E21:G21 B21:C21 K21:L21 E25:G25 B25:C25 E17:H17 B17:C17 E13:G13 C13 K3 C3:H3 B1:L1 B23:E23 G23:H23 K27:L27 K15:L15 C15:H15 C11:E11 G11:H11 K11:L11 K5 E5:H5 C5 K23:L23 K25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O4" sqref="$A1:$XFD1048576"/>
    </sheetView>
  </sheetViews>
  <sheetFormatPr defaultColWidth="9.025" defaultRowHeight="13.5"/>
  <cols>
    <col min="1" max="1" width="34.2333333333333" customWidth="1"/>
    <col min="2" max="2" width="19.1083333333333" customWidth="1"/>
    <col min="3" max="3" width="24.7166666666667" customWidth="1"/>
    <col min="4" max="4" width="15.6333333333333" customWidth="1"/>
    <col min="5" max="5" width="31.8666666666667" customWidth="1"/>
    <col min="6" max="6" width="13.95" customWidth="1"/>
    <col min="7" max="7" width="14.3083333333333" customWidth="1"/>
    <col min="11" max="11" width="10.325" customWidth="1"/>
    <col min="12" max="12" width="8.03333333333333" customWidth="1"/>
  </cols>
  <sheetData>
    <row r="1" ht="22.5" spans="1:12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ht="30" spans="1:12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</row>
    <row r="3" spans="1:12">
      <c r="A3" s="80" t="s">
        <v>118</v>
      </c>
      <c r="B3" s="81" t="s">
        <v>179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4">
        <f>L$5</f>
        <v>0.1</v>
      </c>
      <c r="J3" s="85">
        <f>IF(AND(L$5&gt;0,L$5&lt;=0.5,L$13&lt;=90,L$7&lt;=60,L$9&lt;=60,L$11&lt;=60,L$3&gt;0,L$3&lt;=1500),I3*35+3,"")</f>
        <v>6.5</v>
      </c>
      <c r="K3" s="81" t="s">
        <v>125</v>
      </c>
      <c r="L3" s="86">
        <v>1500</v>
      </c>
    </row>
    <row r="4" spans="1:12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3:I8" si="0">L$5</f>
        <v>0.1</v>
      </c>
      <c r="J4" s="90">
        <f>IF(AND(L$5&gt;0,L$5&lt;=0.5,L$7&lt;=90,L$9&lt;=60,L$11&lt;=60,L$13&lt;=60,L$3&gt;0,L$3&lt;=1500),I4*25+3,"")</f>
        <v>5.5</v>
      </c>
      <c r="K4" s="88"/>
      <c r="L4" s="91"/>
    </row>
    <row r="5" spans="1:12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IF(AND(L$5&gt;0.5,L$5&lt;=35,L$13&lt;=150,L$7&lt;=60,L$9&lt;=60,L$11&lt;=60,L$3&gt;0,L$3&lt;=1500),I5*25+23,"")</f>
        <v/>
      </c>
      <c r="K5" s="92" t="s">
        <v>132</v>
      </c>
      <c r="L5" s="93">
        <v>0.1</v>
      </c>
    </row>
    <row r="6" spans="1:12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IF(AND(L$5&gt;0.5,L$5&lt;=35,L$13&lt;=150,L$7&lt;=60,L$9&lt;=60,L$11&lt;=60,L$3&gt;0,L$3&lt;=1500),I6*17+23,"")</f>
        <v/>
      </c>
      <c r="K6" s="94"/>
      <c r="L6" s="95"/>
    </row>
    <row r="7" spans="1:12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IF(AND(L$5&gt;0,L$5&lt;=2,L$13&lt;=150,L$7&lt;=60,L$9&lt;=60,L$11&lt;=60,L$3&gt;1500,L$3&lt;=7000),I7*35+16,"")</f>
        <v/>
      </c>
      <c r="K7" s="96" t="s">
        <v>146</v>
      </c>
      <c r="L7" s="97">
        <v>10</v>
      </c>
    </row>
    <row r="8" spans="1:12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IF(AND(L$5&gt;0,L$5&lt;=2,L$13&lt;=150,L$7&lt;=60,L$9&lt;=60,L$11&lt;=60,L$3&gt;1500,L$3&lt;=7000),I8*25+16,"")</f>
        <v/>
      </c>
      <c r="K8" s="96"/>
      <c r="L8" s="97"/>
    </row>
    <row r="9" spans="1:12">
      <c r="A9" s="87" t="s">
        <v>142</v>
      </c>
      <c r="B9" s="88"/>
      <c r="C9" s="89" t="s">
        <v>143</v>
      </c>
      <c r="D9" s="88" t="s">
        <v>144</v>
      </c>
      <c r="E9" s="88" t="s">
        <v>145</v>
      </c>
      <c r="F9" s="88"/>
      <c r="G9" s="88"/>
      <c r="H9" s="84" t="str">
        <f>IF(AND(L$5&gt;2,L$5&lt;=35,L$13&lt;=250,L$7&lt;=150,L$9&lt;=150,L$11&lt;=150,L$3&gt;1501,L$3&lt;=7000),L$7*L$9*L$11/12000,"")</f>
        <v/>
      </c>
      <c r="I9" s="84">
        <f>IF(AND(H$9&gt;L$5,H9&lt;&gt;""),H$9,L$5)</f>
        <v>0.1</v>
      </c>
      <c r="J9" s="90" t="str">
        <f>IF(AND(L$5&gt;2,L$5&lt;=35,L$13&lt;=250,L$7&lt;=150,L$9&lt;=150,L$11&lt;=150,L$3&gt;1500,L$3&lt;=7000),I9*25+36,"")</f>
        <v/>
      </c>
      <c r="K9" s="96" t="s">
        <v>159</v>
      </c>
      <c r="L9" s="97">
        <v>10</v>
      </c>
    </row>
    <row r="10" spans="1:12">
      <c r="A10" s="87" t="s">
        <v>147</v>
      </c>
      <c r="B10" s="88"/>
      <c r="C10" s="89" t="s">
        <v>148</v>
      </c>
      <c r="D10" s="88"/>
      <c r="E10" s="88"/>
      <c r="F10" s="88"/>
      <c r="G10" s="88"/>
      <c r="H10" s="84" t="str">
        <f>IF(AND(L$5&gt;2,L$5&lt;=35,L$13&lt;=250,L$7&lt;=150,L$9&lt;=150,L$11&lt;=150,L$3&gt;1501,L$3&lt;=7000),L$7*L$9*L$11/12000,"")</f>
        <v/>
      </c>
      <c r="I10" s="84">
        <f>IF(AND(H$10&gt;L$5,H10&lt;&gt;""),H$10,L$5)</f>
        <v>0.1</v>
      </c>
      <c r="J10" s="90" t="str">
        <f>IF(AND(L$5&gt;2,L$5&lt;=35,L$13&lt;=250,L$7&lt;=150,L$9&lt;=150,L$11&lt;=150,L$3&gt;1500,L$3&lt;=7000),I10*17+36,"")</f>
        <v/>
      </c>
      <c r="K10" s="96"/>
      <c r="L10" s="97"/>
    </row>
    <row r="11" spans="1:12">
      <c r="A11" s="87" t="s">
        <v>149</v>
      </c>
      <c r="B11" s="88"/>
      <c r="C11" s="89" t="s">
        <v>150</v>
      </c>
      <c r="D11" s="88" t="s">
        <v>151</v>
      </c>
      <c r="E11" s="88"/>
      <c r="F11" s="88" t="s">
        <v>152</v>
      </c>
      <c r="G11" s="88"/>
      <c r="H11" s="84"/>
      <c r="I11" s="84">
        <f>L$5</f>
        <v>0.1</v>
      </c>
      <c r="J11" s="90" t="str">
        <f>IF(AND(L$5&gt;0,L$5&lt;=5,L$13&lt;=250,L$7&lt;=150,L$9&lt;=150,L$11&lt;=150,L$3&gt;7001,L$3&lt;=18000),I11*35+22,"")</f>
        <v/>
      </c>
      <c r="K11" s="94" t="s">
        <v>166</v>
      </c>
      <c r="L11" s="95">
        <v>10</v>
      </c>
    </row>
    <row r="12" spans="1:12">
      <c r="A12" s="87" t="s">
        <v>153</v>
      </c>
      <c r="B12" s="88"/>
      <c r="C12" s="89" t="s">
        <v>154</v>
      </c>
      <c r="D12" s="88"/>
      <c r="E12" s="88"/>
      <c r="F12" s="88"/>
      <c r="G12" s="88"/>
      <c r="H12" s="84"/>
      <c r="I12" s="84">
        <f>L$5</f>
        <v>0.1</v>
      </c>
      <c r="J12" s="90" t="str">
        <f>IF(AND(L$5&gt;0,L$5&lt;=5,L$13&lt;=250,L$7&lt;=150,L$9&lt;=150,L$11&lt;=150,L$3&gt;7001,L$3&lt;=18000),I12*25+22,"")</f>
        <v/>
      </c>
      <c r="K12" s="98"/>
      <c r="L12" s="99"/>
    </row>
    <row r="13" spans="1:12">
      <c r="A13" s="87" t="s">
        <v>155</v>
      </c>
      <c r="B13" s="88"/>
      <c r="C13" s="89" t="s">
        <v>156</v>
      </c>
      <c r="D13" s="88" t="s">
        <v>157</v>
      </c>
      <c r="E13" s="88" t="s">
        <v>158</v>
      </c>
      <c r="F13" s="88"/>
      <c r="G13" s="88"/>
      <c r="H13" s="84" t="str">
        <f>IF(AND(L$5&gt;5,L$5&lt;=35,L$13&lt;=310,L$7&lt;=150,L$9&lt;=150,L$11&lt;=150,L$3&gt;7000,L$3&lt;=18000),L$7*L$9*L$11/12000,"")</f>
        <v/>
      </c>
      <c r="I13" s="84">
        <f>IF(AND(H$13&gt;L$5,H13&lt;&gt;""),H$13,L$5)</f>
        <v>0.1</v>
      </c>
      <c r="J13" s="90" t="str">
        <f>IF(AND(L$5&gt;5,L$5&lt;=35,L$13&lt;=310,L$7&lt;=150,L$9&lt;=150,L$11&lt;=150,L$3&gt;7000,L$3&lt;=18000,I13&lt;=80),I13*28+62,"")</f>
        <v/>
      </c>
      <c r="K13" s="88" t="s">
        <v>171</v>
      </c>
      <c r="L13" s="100">
        <f>L7+L9+L11</f>
        <v>30</v>
      </c>
    </row>
    <row r="14" spans="1:12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IF(AND(L$5&gt;5,L$5&lt;=35,L$13&lt;=310,L$7&lt;=150,L$9&lt;=150,L$11&lt;=150,L$3&gt;7000,L$3&lt;=18000),L$7*L$9*L$11/12000,"")</f>
        <v/>
      </c>
      <c r="I14" s="84">
        <f>IF(AND(H$14&gt;L$5,H14&lt;&gt;""),H$14,L$5)</f>
        <v>0.1</v>
      </c>
      <c r="J14" s="90" t="str">
        <f>IF(AND(L$5&gt;5,L$5&lt;=35,L$13&lt;=310,L$7&lt;=150,L$9&lt;=150,L$11&lt;=150,L$3&gt;7000,L$3&lt;=18000,I14&lt;=80),I14*23+62,"")</f>
        <v/>
      </c>
      <c r="K14" s="88" t="s">
        <v>176</v>
      </c>
      <c r="L14" s="101">
        <f>L$5/(L7*L9*L11/1000000)</f>
        <v>100</v>
      </c>
    </row>
    <row r="15" spans="1:12">
      <c r="A15" s="102" t="s">
        <v>178</v>
      </c>
      <c r="B15" s="103"/>
      <c r="C15" s="104"/>
      <c r="D15" s="103"/>
      <c r="E15" s="103"/>
      <c r="F15" s="103"/>
      <c r="G15" s="103"/>
      <c r="H15" s="105"/>
      <c r="I15" s="105"/>
      <c r="J15" s="106"/>
      <c r="K15" s="107"/>
      <c r="L15" s="108"/>
    </row>
  </sheetData>
  <sheetProtection algorithmName="SHA-512" hashValue="iw/0T2mM8Wb7txmULMhqjG6FJrWOgIBL8AxaoWVyyzdp3SHD3Cd//XX+urAZFBppP9HzL1BeUCMAaodZjt+NkQ==" saltValue="tS41IVMjn27vOOMG5Z7wpA==" spinCount="100000" sheet="1" formatCells="0" formatColumns="0" formatRows="0" insertRows="0" insertColumns="0" insertHyperlinks="0" deleteColumns="0" deleteRows="0" sort="0" autoFilter="0" pivotTables="0" objects="1"/>
  <protectedRanges>
    <protectedRange sqref="L7:L11" name="区域1"/>
    <protectedRange sqref="L7:L11" name="区域1_1"/>
    <protectedRange sqref="L7:L11" name="区域1_1_1"/>
    <protectedRange sqref="L7:L11" name="区域1_2"/>
    <protectedRange sqref="L7:L11" name="区域1_1_1_1"/>
    <protectedRange sqref="L7:L11" name="区域1_3"/>
    <protectedRange sqref="L7:L11" name="区域1_1_2"/>
    <protectedRange sqref="L7:L11" name="区域1_4"/>
    <protectedRange sqref="L7:L11" name="区域1_1_3"/>
    <protectedRange sqref="L7:L11" name="区域1_5"/>
    <protectedRange sqref="L7:L11" name="区域1_1_4"/>
    <protectedRange sqref="L7:L11" name="区域1_6"/>
    <protectedRange sqref="L7:L11" name="区域1_1_5"/>
    <protectedRange sqref="L7:L11" name="区域1_7"/>
    <protectedRange sqref="L7:L11" name="区域1_1_6"/>
  </protectedRanges>
  <mergeCells count="29">
    <mergeCell ref="A1:L1"/>
    <mergeCell ref="K2:L2"/>
    <mergeCell ref="A15:J15"/>
    <mergeCell ref="B3:B14"/>
    <mergeCell ref="D3:D4"/>
    <mergeCell ref="D5:D6"/>
    <mergeCell ref="D7:D8"/>
    <mergeCell ref="D9:D10"/>
    <mergeCell ref="D11:D12"/>
    <mergeCell ref="D13:D14"/>
    <mergeCell ref="E3:E4"/>
    <mergeCell ref="E5:E8"/>
    <mergeCell ref="E9:E12"/>
    <mergeCell ref="E13:E14"/>
    <mergeCell ref="F3:F6"/>
    <mergeCell ref="F7:F10"/>
    <mergeCell ref="F11:F14"/>
    <mergeCell ref="G3:G6"/>
    <mergeCell ref="G7:G14"/>
    <mergeCell ref="K3:K4"/>
    <mergeCell ref="K5:K6"/>
    <mergeCell ref="K7:K8"/>
    <mergeCell ref="K9:K10"/>
    <mergeCell ref="K11:K12"/>
    <mergeCell ref="L3:L4"/>
    <mergeCell ref="L5:L6"/>
    <mergeCell ref="L7:L8"/>
    <mergeCell ref="L9:L10"/>
    <mergeCell ref="L11:L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workbookViewId="0">
      <pane ySplit="1" topLeftCell="A2" activePane="bottomLeft" state="frozen"/>
      <selection/>
      <selection pane="bottomLeft" activeCell="O4" sqref="$A1:$XFD1048576"/>
    </sheetView>
  </sheetViews>
  <sheetFormatPr defaultColWidth="9" defaultRowHeight="36" customHeight="1"/>
  <cols>
    <col min="1" max="1" width="20.775" style="38" customWidth="1"/>
    <col min="2" max="2" width="15.8916666666667" style="38" customWidth="1"/>
    <col min="3" max="3" width="11.5583333333333" style="38" customWidth="1"/>
    <col min="4" max="4" width="11.225" style="38" customWidth="1"/>
    <col min="5" max="5" width="16.75" style="38" customWidth="1"/>
    <col min="6" max="6" width="23.225" style="38" customWidth="1"/>
    <col min="7" max="7" width="28.5583333333333" style="38" customWidth="1"/>
    <col min="8" max="8" width="17.5083333333333" style="38" customWidth="1"/>
    <col min="9" max="9" width="24.775" style="38" customWidth="1"/>
    <col min="10" max="10" width="20.1333333333333" style="38" customWidth="1"/>
    <col min="11" max="11" width="16.225" style="38" customWidth="1"/>
    <col min="12" max="249" width="13" style="38" customWidth="1"/>
    <col min="250" max="250" width="13" style="38"/>
    <col min="251" max="16384" width="9" style="38"/>
  </cols>
  <sheetData>
    <row r="1" s="38" customFormat="1" ht="39" customHeight="1" spans="1:11">
      <c r="A1" s="41" t="s">
        <v>180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="38" customFormat="1" ht="63" customHeight="1" spans="1:11">
      <c r="A2" s="42" t="s">
        <v>181</v>
      </c>
      <c r="B2" s="43" t="s">
        <v>182</v>
      </c>
      <c r="C2" s="43" t="s">
        <v>183</v>
      </c>
      <c r="D2" s="43" t="s">
        <v>109</v>
      </c>
      <c r="E2" s="43" t="s">
        <v>184</v>
      </c>
      <c r="F2" s="43" t="s">
        <v>185</v>
      </c>
      <c r="G2" s="43" t="s">
        <v>186</v>
      </c>
      <c r="H2" s="44" t="s">
        <v>187</v>
      </c>
      <c r="I2" s="43" t="s">
        <v>188</v>
      </c>
      <c r="J2" s="43" t="s">
        <v>189</v>
      </c>
      <c r="K2" s="45" t="s">
        <v>190</v>
      </c>
    </row>
    <row r="3" s="39" customFormat="1" ht="58" customHeight="1" spans="1:11">
      <c r="A3" s="46" t="s">
        <v>191</v>
      </c>
      <c r="B3" s="47" t="s">
        <v>192</v>
      </c>
      <c r="C3" s="48">
        <v>10</v>
      </c>
      <c r="D3" s="49" t="s">
        <v>193</v>
      </c>
      <c r="E3" s="50" t="s">
        <v>194</v>
      </c>
      <c r="F3" s="51" t="s">
        <v>195</v>
      </c>
      <c r="G3" s="48" t="s">
        <v>196</v>
      </c>
      <c r="H3" s="48">
        <f>IF(I3&lt;=20,I3*48+9,"")</f>
        <v>18.6</v>
      </c>
      <c r="I3" s="49">
        <f>CEILING(J3,0.1)</f>
        <v>0.2</v>
      </c>
      <c r="J3" s="52">
        <v>0.2</v>
      </c>
      <c r="K3" s="53" t="s">
        <v>197</v>
      </c>
    </row>
    <row r="4" s="39" customFormat="1" ht="58" customHeight="1" spans="1:11">
      <c r="A4" s="54" t="s">
        <v>198</v>
      </c>
      <c r="B4" s="55" t="s">
        <v>199</v>
      </c>
      <c r="C4" s="55">
        <v>20</v>
      </c>
      <c r="D4" s="49"/>
      <c r="E4" s="56" t="s">
        <v>200</v>
      </c>
      <c r="F4" s="57"/>
      <c r="G4" s="58" t="s">
        <v>201</v>
      </c>
      <c r="H4" s="58">
        <f>IF(I3&lt;=0.3,I3*58+2,"")</f>
        <v>13.6</v>
      </c>
      <c r="I4" s="49"/>
      <c r="J4" s="52"/>
      <c r="K4" s="53"/>
    </row>
    <row r="5" s="39" customFormat="1" ht="58" customHeight="1" spans="1:11">
      <c r="A5" s="59"/>
      <c r="B5" s="60"/>
      <c r="C5" s="60"/>
      <c r="D5" s="60"/>
      <c r="E5" s="61" t="s">
        <v>202</v>
      </c>
      <c r="F5" s="62"/>
      <c r="G5" s="63" t="s">
        <v>203</v>
      </c>
      <c r="H5" s="63" t="str">
        <f>IF(AND(I3&gt;0.3,I3&lt;=20),I3*43+8,"")</f>
        <v/>
      </c>
      <c r="I5" s="60"/>
      <c r="J5" s="64"/>
      <c r="K5" s="65"/>
    </row>
    <row r="6" s="40" customFormat="1" customHeight="1" spans="1:11">
      <c r="A6" s="66" t="s">
        <v>204</v>
      </c>
      <c r="C6" s="67"/>
      <c r="D6" s="67"/>
      <c r="E6" s="67"/>
      <c r="F6" s="67"/>
    </row>
    <row r="7" s="40" customFormat="1" customHeight="1" spans="1:11">
      <c r="A7" s="68" t="s">
        <v>205</v>
      </c>
      <c r="C7" s="69"/>
      <c r="D7" s="69"/>
      <c r="E7" s="69"/>
      <c r="F7" s="69"/>
    </row>
    <row r="8" s="40" customFormat="1" customHeight="1" spans="1:11">
      <c r="A8" s="70"/>
      <c r="F8" s="71"/>
    </row>
    <row r="9" s="40" customFormat="1" customHeight="1" spans="1:11">
      <c r="A9" s="72"/>
      <c r="B9" s="72"/>
    </row>
  </sheetData>
  <sheetProtection algorithmName="SHA-512" hashValue="20f71tsrdfoN93SBzWW1+8Za4MgW8v7Vr/xSc+NR5JK8E0Q4L/jUzwd4X8y+CMP7Ym98TqTk2VoMmDnLDzDRKg==" saltValue="cVH5RNgg9t55KQvrF1ID7g==" spinCount="100000" sheet="1" formatCells="0" formatColumns="0" formatRows="0" insertRows="0" insertColumns="0" insertHyperlinks="0" deleteColumns="0" deleteRows="0" sort="0" autoFilter="0" pivotTables="0" objects="1"/>
  <protectedRanges>
    <protectedRange sqref="J3" name="区域1"/>
  </protectedRanges>
  <mergeCells count="9">
    <mergeCell ref="A1:K1"/>
    <mergeCell ref="A4:A5"/>
    <mergeCell ref="B4:B5"/>
    <mergeCell ref="C4:C5"/>
    <mergeCell ref="D3:D5"/>
    <mergeCell ref="F3:F5"/>
    <mergeCell ref="I3:I5"/>
    <mergeCell ref="J3:J5"/>
    <mergeCell ref="K3:K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pane ySplit="2" topLeftCell="A3" activePane="bottomLeft" state="frozen"/>
      <selection/>
      <selection pane="bottomLeft" activeCell="O4" sqref="$A1:$XFD1048576"/>
    </sheetView>
  </sheetViews>
  <sheetFormatPr defaultColWidth="9" defaultRowHeight="27" customHeight="1"/>
  <cols>
    <col min="1" max="1" width="27.5083333333333" style="3" customWidth="1"/>
    <col min="2" max="2" width="17.0083333333333" style="3" customWidth="1"/>
    <col min="3" max="3" width="15.0083333333333" style="3" customWidth="1"/>
    <col min="4" max="4" width="40.8833333333333" style="4" customWidth="1"/>
    <col min="5" max="5" width="25.0083333333333" style="3" customWidth="1"/>
    <col min="6" max="6" width="23.675" style="3" customWidth="1"/>
    <col min="7" max="7" width="7.63333333333333" style="1" customWidth="1"/>
    <col min="8" max="8" width="11.5083333333333" style="3" customWidth="1"/>
    <col min="9" max="9" width="17.1333333333333" style="5" customWidth="1"/>
    <col min="10" max="254" width="17.1333333333333" style="6" customWidth="1"/>
    <col min="255" max="16384" width="9" style="6"/>
  </cols>
  <sheetData>
    <row r="1" s="1" customFormat="1" ht="38.75" customHeight="1" spans="1:9">
      <c r="A1" s="7" t="s">
        <v>206</v>
      </c>
      <c r="B1" s="7"/>
      <c r="C1" s="7"/>
      <c r="D1" s="7"/>
      <c r="E1" s="7"/>
      <c r="F1" s="7"/>
      <c r="G1" s="7"/>
      <c r="H1" s="7"/>
      <c r="I1" s="3"/>
    </row>
    <row r="2" customFormat="1" ht="31.25" customHeight="1" spans="1:9">
      <c r="A2" s="8" t="s">
        <v>181</v>
      </c>
      <c r="B2" s="9" t="s">
        <v>183</v>
      </c>
      <c r="C2" s="9" t="s">
        <v>207</v>
      </c>
      <c r="D2" s="9" t="s">
        <v>185</v>
      </c>
      <c r="E2" s="9" t="s">
        <v>208</v>
      </c>
      <c r="F2" s="9" t="s">
        <v>209</v>
      </c>
      <c r="G2" s="9" t="s">
        <v>190</v>
      </c>
      <c r="H2" s="10"/>
    </row>
    <row r="3" customFormat="1" ht="38.75" customHeight="1" spans="1:9">
      <c r="A3" s="11" t="s">
        <v>210</v>
      </c>
      <c r="B3" s="12" t="s">
        <v>28</v>
      </c>
      <c r="C3" s="13" t="s">
        <v>211</v>
      </c>
      <c r="D3" s="13" t="s">
        <v>158</v>
      </c>
      <c r="E3" s="13" t="s">
        <v>212</v>
      </c>
      <c r="F3" s="14">
        <f>IF(AND(G3&gt;0,G3&lt;=30),G3*715+161,"")</f>
        <v>232.5</v>
      </c>
      <c r="G3" s="15">
        <v>0.1</v>
      </c>
      <c r="H3" s="16" t="s">
        <v>213</v>
      </c>
    </row>
    <row r="4" customFormat="1" ht="38.75" customHeight="1" spans="1:9">
      <c r="A4" s="17" t="s">
        <v>214</v>
      </c>
      <c r="B4" s="18" t="s">
        <v>215</v>
      </c>
      <c r="C4" s="19"/>
      <c r="D4" s="19" t="s">
        <v>216</v>
      </c>
      <c r="E4" s="19" t="s">
        <v>217</v>
      </c>
      <c r="F4" s="20">
        <f>IF(AND(G3&gt;0,G3&lt;=30),G3*465+161,"")</f>
        <v>207.5</v>
      </c>
      <c r="G4" s="21"/>
      <c r="H4" s="22"/>
    </row>
    <row r="5" customFormat="1" ht="30.5" customHeight="1" spans="1:9">
      <c r="A5" s="17" t="s">
        <v>218</v>
      </c>
      <c r="B5" s="18" t="s">
        <v>28</v>
      </c>
      <c r="C5" s="19" t="s">
        <v>219</v>
      </c>
      <c r="D5" s="19" t="s">
        <v>158</v>
      </c>
      <c r="E5" s="19" t="s">
        <v>220</v>
      </c>
      <c r="F5" s="20">
        <f>IF(AND(G3&gt;0,G3&lt;=0.5),G3*550+78,"")</f>
        <v>133</v>
      </c>
      <c r="G5" s="21"/>
      <c r="H5" s="22"/>
    </row>
    <row r="6" customFormat="1" ht="30.5" customHeight="1" spans="1:9">
      <c r="A6" s="17" t="s">
        <v>221</v>
      </c>
      <c r="B6" s="18" t="s">
        <v>215</v>
      </c>
      <c r="C6" s="19"/>
      <c r="D6" s="19" t="s">
        <v>122</v>
      </c>
      <c r="E6" s="19" t="s">
        <v>222</v>
      </c>
      <c r="F6" s="20">
        <f>IF(AND(G3&gt;0,G3&lt;=0.5),G3*287+78,"")</f>
        <v>106.7</v>
      </c>
      <c r="G6" s="21"/>
      <c r="H6" s="22"/>
    </row>
    <row r="7" customFormat="1" ht="38.75" customHeight="1" spans="1:9">
      <c r="A7" s="17" t="s">
        <v>223</v>
      </c>
      <c r="B7" s="18" t="s">
        <v>19</v>
      </c>
      <c r="C7" s="19" t="s">
        <v>211</v>
      </c>
      <c r="D7" s="19" t="s">
        <v>158</v>
      </c>
      <c r="E7" s="13" t="s">
        <v>212</v>
      </c>
      <c r="F7" s="20">
        <f>IF(AND(G3&gt;0,G3&lt;=30),G3*715+161,"")</f>
        <v>232.5</v>
      </c>
      <c r="G7" s="21"/>
      <c r="H7" s="22"/>
    </row>
    <row r="8" customHeight="1" spans="1:9">
      <c r="A8" s="23" t="s">
        <v>224</v>
      </c>
    </row>
    <row r="9" s="2" customFormat="1" ht="47" customHeight="1" spans="1:9">
      <c r="B9" s="24"/>
      <c r="C9" s="25"/>
      <c r="D9" s="26"/>
      <c r="E9" s="27"/>
      <c r="F9" s="28"/>
      <c r="G9" s="29"/>
      <c r="H9" s="27"/>
    </row>
    <row r="10" customFormat="1" ht="66" customHeight="1" spans="1:9">
      <c r="A10" s="30"/>
      <c r="B10" s="31"/>
      <c r="C10" s="30"/>
      <c r="D10" s="32"/>
      <c r="E10" s="33"/>
      <c r="F10" s="34"/>
      <c r="G10" s="35"/>
      <c r="H10" s="36"/>
    </row>
    <row r="12" customHeight="1" spans="1:9">
      <c r="B12" s="37"/>
    </row>
  </sheetData>
  <sheetProtection algorithmName="SHA-512" hashValue="cWXJs6oyWrrZHq6n0dpC+/nDVOi2eGUNz6xajRlYzxLPrOexUyfzxI+xzabQxAI/okaRUmo/TtFbcNGIMR1VQw==" saltValue="JTeKVnuGPmDcVMbZNdNOuQ==" spinCount="100000" sheet="1" formatCells="0" formatColumns="0" formatRows="0" insertRows="0" insertColumns="0" insertHyperlinks="0" deleteColumns="0" deleteRows="0" sort="0" autoFilter="0" pivotTables="0" objects="1"/>
  <mergeCells count="6">
    <mergeCell ref="A1:H1"/>
    <mergeCell ref="G2:H2"/>
    <mergeCell ref="C3:C4"/>
    <mergeCell ref="C5:C6"/>
    <mergeCell ref="G3:G7"/>
    <mergeCell ref="H3:H7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1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3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7" master="" otherUserPermission="visible">
    <arrUserId title="区域1" rangeCreator="" othersAccessPermission="edit"/>
  </rangeList>
  <rangeList sheetStid="9" master="" otherUserPermission="visible"/>
</allowEditUser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OZON-rFBS</vt:lpstr>
      <vt:lpstr>OZON-FBP</vt:lpstr>
      <vt:lpstr>OZON CIS 独联体国家</vt:lpstr>
      <vt:lpstr>OZON CIS-FBP</vt:lpstr>
      <vt:lpstr>WB</vt:lpstr>
      <vt:lpstr>Yandex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2023-05-17T03:15:00Z</dcterms:created>
  <dcterms:modified xsi:type="dcterms:W3CDTF">2026-05-18T04:56:31Z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32AD540187FB4B2CA4E7F8947E79F81A_13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